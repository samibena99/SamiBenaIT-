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ickets" sheetId="2" state="visible" r:id="rId4"/>
    <sheet name="Technicians" sheetId="3" state="visible" r:id="rId5"/>
    <sheet name="SLA Rules" sheetId="4" state="visible" r:id="rId6"/>
    <sheet name="Categories" sheetId="5" state="visible" r:id="rId7"/>
    <sheet name="KPI Calculations" sheetId="6" state="visible" r:id="rId8"/>
    <sheet name="Pivot Summary" sheetId="7" state="visible" r:id="rId9"/>
    <sheet name="Aging Report" sheetId="8" state="visible" r:id="rId10"/>
    <sheet name="DAX &amp; Power BI Guide" sheetId="9" state="visible" r:id="rId11"/>
    <sheet name="CF &amp; Alerts Guide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<sst xmlns="http://schemas.openxmlformats.org/spreadsheetml/2006/main" count="1561" uniqueCount="582">
  <si>
    <t xml:space="preserve">📊  IT HELPDESK KPI DASHBOARD</t>
  </si>
  <si>
    <t xml:space="preserve">Live Performance Metrics  |  As of: =TEXT(TODAY(),"DD-MMM-YYYY")  |  Data Source: Tickets Sheet</t>
  </si>
  <si>
    <t xml:space="preserve">🎫 Total Tickets</t>
  </si>
  <si>
    <t xml:space="preserve">🔓 Open Tickets</t>
  </si>
  <si>
    <t xml:space="preserve">✅ SLA Compliance</t>
  </si>
  <si>
    <t xml:space="preserve">⏱️ Avg Response</t>
  </si>
  <si>
    <t xml:space="preserve">⭐ CSAT Score</t>
  </si>
  <si>
    <t xml:space="preserve">Backlog</t>
  </si>
  <si>
    <t xml:space="preserve">Target ≥90%</t>
  </si>
  <si>
    <t xml:space="preserve">Hours</t>
  </si>
  <si>
    <t xml:space="preserve">/ 5.0</t>
  </si>
  <si>
    <t xml:space="preserve">🔴 SLA Breaches</t>
  </si>
  <si>
    <t xml:space="preserve">🔁 Reopen Rate</t>
  </si>
  <si>
    <t xml:space="preserve">⏰ Aging &gt;7 Days</t>
  </si>
  <si>
    <t xml:space="preserve">⚡ Resolved Today</t>
  </si>
  <si>
    <t xml:space="preserve">📋 P1 Tickets</t>
  </si>
  <si>
    <t xml:space="preserve">Tickets breached</t>
  </si>
  <si>
    <t xml:space="preserve">Target &lt;5%</t>
  </si>
  <si>
    <t xml:space="preserve">Need escalation</t>
  </si>
  <si>
    <t xml:space="preserve">Tickets</t>
  </si>
  <si>
    <t xml:space="preserve">Critical</t>
  </si>
  <si>
    <t xml:space="preserve">Status Distribution</t>
  </si>
  <si>
    <t xml:space="preserve">Tickets by Category</t>
  </si>
  <si>
    <t xml:space="preserve">Technician Workload</t>
  </si>
  <si>
    <t xml:space="preserve">Status</t>
  </si>
  <si>
    <t xml:space="preserve">Count</t>
  </si>
  <si>
    <t xml:space="preserve">Category</t>
  </si>
  <si>
    <t xml:space="preserve">Total</t>
  </si>
  <si>
    <t xml:space="preserve">SLA Breach</t>
  </si>
  <si>
    <t xml:space="preserve">Technician</t>
  </si>
  <si>
    <t xml:space="preserve">Open</t>
  </si>
  <si>
    <t xml:space="preserve">Resolved</t>
  </si>
  <si>
    <t xml:space="preserve">Hardware</t>
  </si>
  <si>
    <t xml:space="preserve">Ahmed Al-Rashid</t>
  </si>
  <si>
    <t xml:space="preserve">In Progress</t>
  </si>
  <si>
    <t xml:space="preserve">Software</t>
  </si>
  <si>
    <t xml:space="preserve">Sara Mohammed</t>
  </si>
  <si>
    <t xml:space="preserve">Network</t>
  </si>
  <si>
    <t xml:space="preserve">Khalid Hassan</t>
  </si>
  <si>
    <t xml:space="preserve">Closed</t>
  </si>
  <si>
    <t xml:space="preserve">Access &amp; Security</t>
  </si>
  <si>
    <t xml:space="preserve">Fatima Al-Ali</t>
  </si>
  <si>
    <t xml:space="preserve">Reopened</t>
  </si>
  <si>
    <t xml:space="preserve">Email &amp; Communication</t>
  </si>
  <si>
    <t xml:space="preserve">Omar Yusuf</t>
  </si>
  <si>
    <t xml:space="preserve">Pending User</t>
  </si>
  <si>
    <t xml:space="preserve">Printer</t>
  </si>
  <si>
    <t xml:space="preserve">Mobile Device</t>
  </si>
  <si>
    <t xml:space="preserve">Other</t>
  </si>
  <si>
    <t xml:space="preserve">🎫  HELPDESK TICKETS — FACT TABLE</t>
  </si>
  <si>
    <t xml:space="preserve">Primary data table | One row per ticket | Connect to all other tables via Ticket ID</t>
  </si>
  <si>
    <t xml:space="preserve">Ticket ID</t>
  </si>
  <si>
    <t xml:space="preserve">Created Date</t>
  </si>
  <si>
    <t xml:space="preserve">First Response Date</t>
  </si>
  <si>
    <t xml:space="preserve">Resolved Date</t>
  </si>
  <si>
    <t xml:space="preserve">Closed Date</t>
  </si>
  <si>
    <t xml:space="preserve">Priority</t>
  </si>
  <si>
    <t xml:space="preserve">Sub-Category</t>
  </si>
  <si>
    <t xml:space="preserve">Technician ID</t>
  </si>
  <si>
    <t xml:space="preserve">Technician Name</t>
  </si>
  <si>
    <t xml:space="preserve">Department</t>
  </si>
  <si>
    <t xml:space="preserve">Customer Name</t>
  </si>
  <si>
    <t xml:space="preserve">SLA Target (hrs)</t>
  </si>
  <si>
    <t xml:space="preserve">Response Time (hrs)</t>
  </si>
  <si>
    <t xml:space="preserve">Resolution Time (hrs)</t>
  </si>
  <si>
    <t xml:space="preserve">SLA Breached</t>
  </si>
  <si>
    <t xml:space="preserve">Reopen Count</t>
  </si>
  <si>
    <t xml:space="preserve">Satisfaction Score</t>
  </si>
  <si>
    <t xml:space="preserve">Notes</t>
  </si>
  <si>
    <t xml:space="preserve">TKT-0001</t>
  </si>
  <si>
    <t xml:space="preserve">P3 - Medium</t>
  </si>
  <si>
    <t xml:space="preserve">Training Request</t>
  </si>
  <si>
    <t xml:space="preserve">T005</t>
  </si>
  <si>
    <t xml:space="preserve">IT</t>
  </si>
  <si>
    <t xml:space="preserve">Rashed Khalil</t>
  </si>
  <si>
    <t xml:space="preserve">No</t>
  </si>
  <si>
    <t xml:space="preserve">TKT-0002</t>
  </si>
  <si>
    <t xml:space="preserve">Application Error</t>
  </si>
  <si>
    <t xml:space="preserve">T004</t>
  </si>
  <si>
    <t xml:space="preserve">Finance</t>
  </si>
  <si>
    <t xml:space="preserve">Noura Hamdan</t>
  </si>
  <si>
    <t xml:space="preserve">TKT-0003</t>
  </si>
  <si>
    <t xml:space="preserve">Password Reset</t>
  </si>
  <si>
    <t xml:space="preserve">T002</t>
  </si>
  <si>
    <t xml:space="preserve">Legal</t>
  </si>
  <si>
    <t xml:space="preserve">Noof Al-Thani</t>
  </si>
  <si>
    <t xml:space="preserve">TKT-0004</t>
  </si>
  <si>
    <t xml:space="preserve">P2 - High</t>
  </si>
  <si>
    <t xml:space="preserve">Laptop Issue</t>
  </si>
  <si>
    <t xml:space="preserve">Sales</t>
  </si>
  <si>
    <t xml:space="preserve">Tariq Nasser</t>
  </si>
  <si>
    <t xml:space="preserve">TKT-0005</t>
  </si>
  <si>
    <t xml:space="preserve">P4 - Low</t>
  </si>
  <si>
    <t xml:space="preserve">VPN Issue</t>
  </si>
  <si>
    <t xml:space="preserve">Executive</t>
  </si>
  <si>
    <t xml:space="preserve">Dana Al-Suwaidi</t>
  </si>
  <si>
    <t xml:space="preserve">TKT-0006</t>
  </si>
  <si>
    <t xml:space="preserve">Toner/Ink</t>
  </si>
  <si>
    <t xml:space="preserve">Yousef Al-Mansoori</t>
  </si>
  <si>
    <t xml:space="preserve">TKT-0007</t>
  </si>
  <si>
    <t xml:space="preserve">Marketing</t>
  </si>
  <si>
    <t xml:space="preserve">Hamad Al-Kuwari</t>
  </si>
  <si>
    <t xml:space="preserve">TKT-0008</t>
  </si>
  <si>
    <t xml:space="preserve">Switch/Router</t>
  </si>
  <si>
    <t xml:space="preserve">TKT-0009</t>
  </si>
  <si>
    <t xml:space="preserve">Desktop Issue</t>
  </si>
  <si>
    <t xml:space="preserve">Operations</t>
  </si>
  <si>
    <t xml:space="preserve">TKT-0010</t>
  </si>
  <si>
    <t xml:space="preserve">Yes</t>
  </si>
  <si>
    <t xml:space="preserve">TKT-0011</t>
  </si>
  <si>
    <t xml:space="preserve">Outlook Error</t>
  </si>
  <si>
    <t xml:space="preserve">T003</t>
  </si>
  <si>
    <t xml:space="preserve">Mona Salem</t>
  </si>
  <si>
    <t xml:space="preserve">TKT-0012</t>
  </si>
  <si>
    <t xml:space="preserve">P1 - Critical</t>
  </si>
  <si>
    <t xml:space="preserve">Slow Connection</t>
  </si>
  <si>
    <t xml:space="preserve">Lolwa Hassan</t>
  </si>
  <si>
    <t xml:space="preserve">TKT-0013</t>
  </si>
  <si>
    <t xml:space="preserve">Driver Issue</t>
  </si>
  <si>
    <t xml:space="preserve">TKT-0014</t>
  </si>
  <si>
    <t xml:space="preserve">Feedback</t>
  </si>
  <si>
    <t xml:space="preserve">TKT-0015</t>
  </si>
  <si>
    <t xml:space="preserve">T001</t>
  </si>
  <si>
    <t xml:space="preserve">TKT-0016</t>
  </si>
  <si>
    <t xml:space="preserve">TKT-0017</t>
  </si>
  <si>
    <t xml:space="preserve">Keyboard/Mouse</t>
  </si>
  <si>
    <t xml:space="preserve">Sultan Al-Meer</t>
  </si>
  <si>
    <t xml:space="preserve">TKT-0018</t>
  </si>
  <si>
    <t xml:space="preserve">Monitor</t>
  </si>
  <si>
    <t xml:space="preserve">TKT-0019</t>
  </si>
  <si>
    <t xml:space="preserve">App Install</t>
  </si>
  <si>
    <t xml:space="preserve">TKT-0020</t>
  </si>
  <si>
    <t xml:space="preserve">Print Queue Stuck</t>
  </si>
  <si>
    <t xml:space="preserve">TKT-0021</t>
  </si>
  <si>
    <t xml:space="preserve">Installation</t>
  </si>
  <si>
    <t xml:space="preserve">TKT-0022</t>
  </si>
  <si>
    <t xml:space="preserve">Teams Issue</t>
  </si>
  <si>
    <t xml:space="preserve">TKT-0023</t>
  </si>
  <si>
    <t xml:space="preserve">New User Setup</t>
  </si>
  <si>
    <t xml:space="preserve">TKT-0024</t>
  </si>
  <si>
    <t xml:space="preserve">No Internet</t>
  </si>
  <si>
    <t xml:space="preserve">TKT-0025</t>
  </si>
  <si>
    <t xml:space="preserve">Account Locked</t>
  </si>
  <si>
    <t xml:space="preserve">TKT-0026</t>
  </si>
  <si>
    <t xml:space="preserve">HR</t>
  </si>
  <si>
    <t xml:space="preserve">TKT-0027</t>
  </si>
  <si>
    <t xml:space="preserve">TKT-0028</t>
  </si>
  <si>
    <t xml:space="preserve">TKT-0029</t>
  </si>
  <si>
    <t xml:space="preserve">TKT-0030</t>
  </si>
  <si>
    <t xml:space="preserve">TKT-0031</t>
  </si>
  <si>
    <t xml:space="preserve">Paper Jam</t>
  </si>
  <si>
    <t xml:space="preserve">TKT-0032</t>
  </si>
  <si>
    <t xml:space="preserve">Update Failure</t>
  </si>
  <si>
    <t xml:space="preserve">Hessa Al-Zaabi</t>
  </si>
  <si>
    <t xml:space="preserve">TKT-0033</t>
  </si>
  <si>
    <t xml:space="preserve">Majed Al-Farsi</t>
  </si>
  <si>
    <t xml:space="preserve">TKT-0034</t>
  </si>
  <si>
    <t xml:space="preserve">TKT-0035</t>
  </si>
  <si>
    <t xml:space="preserve">Badr Mohammed</t>
  </si>
  <si>
    <t xml:space="preserve">TKT-0036</t>
  </si>
  <si>
    <t xml:space="preserve">Data Sync</t>
  </si>
  <si>
    <t xml:space="preserve">TKT-0037</t>
  </si>
  <si>
    <t xml:space="preserve">TKT-0038</t>
  </si>
  <si>
    <t xml:space="preserve">RAM/Storage</t>
  </si>
  <si>
    <t xml:space="preserve">TKT-0039</t>
  </si>
  <si>
    <t xml:space="preserve">TKT-0040</t>
  </si>
  <si>
    <t xml:space="preserve">TKT-0041</t>
  </si>
  <si>
    <t xml:space="preserve">Wi-Fi Drop</t>
  </si>
  <si>
    <t xml:space="preserve">TKT-0042</t>
  </si>
  <si>
    <t xml:space="preserve">Calendar Sync</t>
  </si>
  <si>
    <t xml:space="preserve">TKT-0043</t>
  </si>
  <si>
    <t xml:space="preserve">Lost Device</t>
  </si>
  <si>
    <t xml:space="preserve">TKT-0044</t>
  </si>
  <si>
    <t xml:space="preserve">TKT-0045</t>
  </si>
  <si>
    <t xml:space="preserve">TKT-0046</t>
  </si>
  <si>
    <t xml:space="preserve">TKT-0047</t>
  </si>
  <si>
    <t xml:space="preserve">TKT-0048</t>
  </si>
  <si>
    <t xml:space="preserve">Permission Change</t>
  </si>
  <si>
    <t xml:space="preserve">TKT-0049</t>
  </si>
  <si>
    <t xml:space="preserve">TKT-0050</t>
  </si>
  <si>
    <t xml:space="preserve">TKT-0051</t>
  </si>
  <si>
    <t xml:space="preserve">TKT-0052</t>
  </si>
  <si>
    <t xml:space="preserve">TKT-0053</t>
  </si>
  <si>
    <t xml:space="preserve">TKT-0054</t>
  </si>
  <si>
    <t xml:space="preserve">TKT-0055</t>
  </si>
  <si>
    <t xml:space="preserve">Procurement</t>
  </si>
  <si>
    <t xml:space="preserve">TKT-0056</t>
  </si>
  <si>
    <t xml:space="preserve">TKT-0057</t>
  </si>
  <si>
    <t xml:space="preserve">TKT-0058</t>
  </si>
  <si>
    <t xml:space="preserve">TKT-0059</t>
  </si>
  <si>
    <t xml:space="preserve">TKT-0060</t>
  </si>
  <si>
    <t xml:space="preserve">👨‍💻  TECHNICIANS — DIMENSION TABLE</t>
  </si>
  <si>
    <t xml:space="preserve">Technician master data | Relates to Tickets via Technician ID</t>
  </si>
  <si>
    <t xml:space="preserve">Full Name</t>
  </si>
  <si>
    <t xml:space="preserve">Email</t>
  </si>
  <si>
    <t xml:space="preserve">Specialization</t>
  </si>
  <si>
    <t xml:space="preserve">Shift</t>
  </si>
  <si>
    <t xml:space="preserve">Team</t>
  </si>
  <si>
    <t xml:space="preserve">Max Ticket Capacity</t>
  </si>
  <si>
    <t xml:space="preserve">Current Open Tickets</t>
  </si>
  <si>
    <t xml:space="preserve">Avg Resolution Time (hrs)</t>
  </si>
  <si>
    <t xml:space="preserve">Satisfaction Avg</t>
  </si>
  <si>
    <t xml:space="preserve">ahmed@helpdesk.qa</t>
  </si>
  <si>
    <t xml:space="preserve">Hardware &amp; Network</t>
  </si>
  <si>
    <t xml:space="preserve">Morning</t>
  </si>
  <si>
    <t xml:space="preserve">Tier 1</t>
  </si>
  <si>
    <t xml:space="preserve">Active</t>
  </si>
  <si>
    <t xml:space="preserve">sara@helpdesk.qa</t>
  </si>
  <si>
    <t xml:space="preserve">Software &amp; OS</t>
  </si>
  <si>
    <t xml:space="preserve">khalid@helpdesk.qa</t>
  </si>
  <si>
    <t xml:space="preserve">Security &amp; Access</t>
  </si>
  <si>
    <t xml:space="preserve">Evening</t>
  </si>
  <si>
    <t xml:space="preserve">Tier 2</t>
  </si>
  <si>
    <t xml:space="preserve">fatima@helpdesk.qa</t>
  </si>
  <si>
    <t xml:space="preserve">Applications</t>
  </si>
  <si>
    <t xml:space="preserve">omar@helpdesk.qa</t>
  </si>
  <si>
    <t xml:space="preserve">Network &amp; Infrastructure</t>
  </si>
  <si>
    <t xml:space="preserve">Tier 3</t>
  </si>
  <si>
    <t xml:space="preserve">⏱️  SLA RULES &amp; TARGETS</t>
  </si>
  <si>
    <t xml:space="preserve">Define SLA targets by priority | These drive all SLA compliance calculations</t>
  </si>
  <si>
    <t xml:space="preserve">SLA Tier</t>
  </si>
  <si>
    <t xml:space="preserve">First Response (hrs)</t>
  </si>
  <si>
    <t xml:space="preserve">Resolution Target (hrs)</t>
  </si>
  <si>
    <t xml:space="preserve">Escalation Threshold (hrs)</t>
  </si>
  <si>
    <t xml:space="preserve">Business Hours Only</t>
  </si>
  <si>
    <t xml:space="preserve">Penalty (QAR/hr breach)</t>
  </si>
  <si>
    <t xml:space="preserve">Description</t>
  </si>
  <si>
    <t xml:space="preserve">Examples</t>
  </si>
  <si>
    <t xml:space="preserve">Gold</t>
  </si>
  <si>
    <t xml:space="preserve">Total system outage affecting all users. Immediate response required 24/7.</t>
  </si>
  <si>
    <t xml:space="preserve">Server down, network outage, security breach, complete email failure</t>
  </si>
  <si>
    <t xml:space="preserve">Silver</t>
  </si>
  <si>
    <t xml:space="preserve">Major functionality impacted. Multiple users affected. Same-day resolution expected.</t>
  </si>
  <si>
    <t xml:space="preserve">Application crash, VPN failure, multiple users locked out, key system unavailable</t>
  </si>
  <si>
    <t xml:space="preserve">Bronze</t>
  </si>
  <si>
    <t xml:space="preserve">Single user affected or minor impact. Next business day acceptable.</t>
  </si>
  <si>
    <t xml:space="preserve">Single app error, password reset, software install, printer issue</t>
  </si>
  <si>
    <t xml:space="preserve">Standard</t>
  </si>
  <si>
    <t xml:space="preserve">General request, no impact on productivity. Best effort.</t>
  </si>
  <si>
    <t xml:space="preserve">Training requests, general queries, new software evaluation, documentation</t>
  </si>
  <si>
    <t xml:space="preserve">🗂️  CATEGORIES — DIMENSION TABLE</t>
  </si>
  <si>
    <t xml:space="preserve">Category hierarchy and routing rules | Use for ticket classification</t>
  </si>
  <si>
    <t xml:space="preserve">Category ID</t>
  </si>
  <si>
    <t xml:space="preserve">Default Priority</t>
  </si>
  <si>
    <t xml:space="preserve">Assigned Team</t>
  </si>
  <si>
    <t xml:space="preserve">Avg Resolution (hrs)</t>
  </si>
  <si>
    <t xml:space="preserve">Ticket Count</t>
  </si>
  <si>
    <t xml:space="preserve">% of Total</t>
  </si>
  <si>
    <t xml:space="preserve">Most Common Issue</t>
  </si>
  <si>
    <t xml:space="preserve">CAT-001</t>
  </si>
  <si>
    <t xml:space="preserve">CAT-002</t>
  </si>
  <si>
    <t xml:space="preserve">CAT-003</t>
  </si>
  <si>
    <t xml:space="preserve">CAT-004</t>
  </si>
  <si>
    <t xml:space="preserve">CAT-005</t>
  </si>
  <si>
    <t xml:space="preserve">CAT-006</t>
  </si>
  <si>
    <t xml:space="preserve">OS Crash</t>
  </si>
  <si>
    <t xml:space="preserve">CAT-007</t>
  </si>
  <si>
    <t xml:space="preserve">CAT-008</t>
  </si>
  <si>
    <t xml:space="preserve">CAT-009</t>
  </si>
  <si>
    <t xml:space="preserve">License Issue</t>
  </si>
  <si>
    <t xml:space="preserve">CAT-010</t>
  </si>
  <si>
    <t xml:space="preserve">CAT-011</t>
  </si>
  <si>
    <t xml:space="preserve">CAT-012</t>
  </si>
  <si>
    <t xml:space="preserve">CAT-013</t>
  </si>
  <si>
    <t xml:space="preserve">CAT-014</t>
  </si>
  <si>
    <t xml:space="preserve">CAT-015</t>
  </si>
  <si>
    <t xml:space="preserve">CAT-016</t>
  </si>
  <si>
    <t xml:space="preserve">CAT-017</t>
  </si>
  <si>
    <t xml:space="preserve">CAT-018</t>
  </si>
  <si>
    <t xml:space="preserve">CAT-019</t>
  </si>
  <si>
    <t xml:space="preserve">CAT-020</t>
  </si>
  <si>
    <t xml:space="preserve">MFA Issue</t>
  </si>
  <si>
    <t xml:space="preserve">CAT-021</t>
  </si>
  <si>
    <t xml:space="preserve">Email Not Sending</t>
  </si>
  <si>
    <t xml:space="preserve">CAT-022</t>
  </si>
  <si>
    <t xml:space="preserve">CAT-023</t>
  </si>
  <si>
    <t xml:space="preserve">CAT-024</t>
  </si>
  <si>
    <t xml:space="preserve">CAT-025</t>
  </si>
  <si>
    <t xml:space="preserve">Distribution List</t>
  </si>
  <si>
    <t xml:space="preserve">CAT-026</t>
  </si>
  <si>
    <t xml:space="preserve">CAT-027</t>
  </si>
  <si>
    <t xml:space="preserve">Offline Printer</t>
  </si>
  <si>
    <t xml:space="preserve">CAT-028</t>
  </si>
  <si>
    <t xml:space="preserve">CAT-029</t>
  </si>
  <si>
    <t xml:space="preserve">CAT-030</t>
  </si>
  <si>
    <t xml:space="preserve">CAT-031</t>
  </si>
  <si>
    <t xml:space="preserve">Phone Setup</t>
  </si>
  <si>
    <t xml:space="preserve">CAT-032</t>
  </si>
  <si>
    <t xml:space="preserve">MDM Enrollment</t>
  </si>
  <si>
    <t xml:space="preserve">CAT-033</t>
  </si>
  <si>
    <t xml:space="preserve">CAT-034</t>
  </si>
  <si>
    <t xml:space="preserve">CAT-035</t>
  </si>
  <si>
    <t xml:space="preserve">CAT-036</t>
  </si>
  <si>
    <t xml:space="preserve">General Query</t>
  </si>
  <si>
    <t xml:space="preserve">CAT-037</t>
  </si>
  <si>
    <t xml:space="preserve">CAT-038</t>
  </si>
  <si>
    <t xml:space="preserve">CAT-039</t>
  </si>
  <si>
    <t xml:space="preserve">Policy Question</t>
  </si>
  <si>
    <t xml:space="preserve">CAT-040</t>
  </si>
  <si>
    <t xml:space="preserve">📐  KPI CALCULATIONS — EXCEL FORMULAS</t>
  </si>
  <si>
    <t xml:space="preserve">All KPI formulas with explanations | This sheet feeds the Dashboard</t>
  </si>
  <si>
    <t xml:space="preserve">KPI Name</t>
  </si>
  <si>
    <t xml:space="preserve">Calculated Value</t>
  </si>
  <si>
    <t xml:space="preserve">Formula Used</t>
  </si>
  <si>
    <t xml:space="preserve">Notes &amp; Explanation</t>
  </si>
  <si>
    <t xml:space="preserve">  📊  SECTION 1: TICKET VOLUME KPIs</t>
  </si>
  <si>
    <t xml:space="preserve">Total Tickets</t>
  </si>
  <si>
    <t xml:space="preserve">Counts all non-blank Ticket IDs. Adjust range as data grows.</t>
  </si>
  <si>
    <t xml:space="preserve">Open Tickets</t>
  </si>
  <si>
    <t xml:space="preserve">All tickets with Status = Open. These need immediate attention.</t>
  </si>
  <si>
    <t xml:space="preserve">In Progress Tickets</t>
  </si>
  <si>
    <t xml:space="preserve">Tickets actively being worked on by a technician.</t>
  </si>
  <si>
    <t xml:space="preserve">Resolved Tickets</t>
  </si>
  <si>
    <t xml:space="preserve">Tickets marked Resolved but not yet formally Closed by customer.</t>
  </si>
  <si>
    <t xml:space="preserve">Closed Tickets</t>
  </si>
  <si>
    <t xml:space="preserve">Fully closed tickets with customer sign-off.</t>
  </si>
  <si>
    <t xml:space="preserve">Reopened Tickets</t>
  </si>
  <si>
    <t xml:space="preserve">Tickets reopened after resolution — indicator of quality issues.</t>
  </si>
  <si>
    <t xml:space="preserve">Pending User Tickets</t>
  </si>
  <si>
    <t xml:space="preserve">Awaiting response from end user. Should not count against SLA.</t>
  </si>
  <si>
    <t xml:space="preserve">Ticket Backlog</t>
  </si>
  <si>
    <t xml:space="preserve">Total unresolved tickets = Open + In Progress. Key daily metric.</t>
  </si>
  <si>
    <t xml:space="preserve">Backlog Rate %</t>
  </si>
  <si>
    <t xml:space="preserve">Backlog / Total Tickets. &gt;20% signals capacity issues.</t>
  </si>
  <si>
    <t xml:space="preserve">Reopen Rate %</t>
  </si>
  <si>
    <t xml:space="preserve">% tickets reopened. Target: &lt;5%. High rate = poor first-contact resolution.</t>
  </si>
  <si>
    <t xml:space="preserve">  ⏱️  SECTION 2: SLA &amp; RESPONSE TIME KPIs</t>
  </si>
  <si>
    <t xml:space="preserve">Avg Response Time (hrs)</t>
  </si>
  <si>
    <t xml:space="preserve">Average first response time across all tickets. Include only non-blank values.</t>
  </si>
  <si>
    <t xml:space="preserve">Average hours to resolve. Exclude open/pending tickets from average.</t>
  </si>
  <si>
    <t xml:space="preserve">SLA Breach Count</t>
  </si>
  <si>
    <t xml:space="preserve">Total tickets where response time exceeded SLA target for that priority.</t>
  </si>
  <si>
    <t xml:space="preserve">SLA Compliance %</t>
  </si>
  <si>
    <t xml:space="preserve">% tickets resolved within SLA. Target: ≥95% for P1, ≥90% overall.</t>
  </si>
  <si>
    <t xml:space="preserve">P1 SLA Compliance %</t>
  </si>
  <si>
    <t xml:space="preserve">SLA compliance for critical tickets only. Must be ≥98%.</t>
  </si>
  <si>
    <t xml:space="preserve">P2 SLA Compliance %</t>
  </si>
  <si>
    <t xml:space="preserve">SLA compliance for high priority. Target ≥95%.</t>
  </si>
  <si>
    <t xml:space="preserve">P3 SLA Compliance %</t>
  </si>
  <si>
    <t xml:space="preserve">SLA compliance for medium priority. Target ≥90%.</t>
  </si>
  <si>
    <t xml:space="preserve">Avg Response P1 (hrs)</t>
  </si>
  <si>
    <t xml:space="preserve">Average response time for P1 tickets only. Must be &lt;1 hour.</t>
  </si>
  <si>
    <t xml:space="preserve">Avg Response P2 (hrs)</t>
  </si>
  <si>
    <t xml:space="preserve">Average response time for P2 tickets only. Target: &lt;2 hours.</t>
  </si>
  <si>
    <t xml:space="preserve">Avg Resolution P1 (hrs)</t>
  </si>
  <si>
    <t xml:space="preserve">Average resolution for P1 tickets. Target: &lt;4 hours.</t>
  </si>
  <si>
    <t xml:space="preserve">  ⭐  SECTION 3: QUALITY &amp; SATISFACTION KPIs</t>
  </si>
  <si>
    <t xml:space="preserve">Avg Satisfaction Score</t>
  </si>
  <si>
    <t xml:space="preserve">Average CSAT out of 5. Target ≥4.0. Based on closed/resolved tickets only.</t>
  </si>
  <si>
    <t xml:space="preserve">Tickets Rated 5 (Excellent)</t>
  </si>
  <si>
    <t xml:space="preserve">Count of top-rated tickets. Use for recognition and benchmarking.</t>
  </si>
  <si>
    <t xml:space="preserve">Tickets Rated ≤2 (Poor)</t>
  </si>
  <si>
    <t xml:space="preserve">Count of low satisfaction scores. Review these for escalation patterns.</t>
  </si>
  <si>
    <t xml:space="preserve">First Contact Resolution %</t>
  </si>
  <si>
    <t xml:space="preserve">% tickets resolved on first contact (Reopen Count = 0). Target ≥80%.</t>
  </si>
  <si>
    <t xml:space="preserve">Avg Reopen Count</t>
  </si>
  <si>
    <t xml:space="preserve">Average number of times tickets are reopened. Target: &lt;0.1.</t>
  </si>
  <si>
    <t xml:space="preserve">Tickets Open &gt; 7 Days</t>
  </si>
  <si>
    <t xml:space="preserve">Aging open tickets older than 7 days. Critical backlog alert.</t>
  </si>
  <si>
    <t xml:space="preserve">Tickets Open &gt; 14 Days</t>
  </si>
  <si>
    <t xml:space="preserve">Very aged tickets. Needs immediate management escalation.</t>
  </si>
  <si>
    <t xml:space="preserve">Tickets Open &gt; 30 Days</t>
  </si>
  <si>
    <t xml:space="preserve">Severely aged tickets. Should be near-zero in healthy helpdesks.</t>
  </si>
  <si>
    <t xml:space="preserve">  👨‍💻  SECTION 4: TECHNICIAN PERFORMANCE (Parameterised)</t>
  </si>
  <si>
    <t xml:space="preserve">  ← Change Technician ID in cell B40 to recalculate all technician KPIs</t>
  </si>
  <si>
    <t xml:space="preserve">Selected Technician ID:</t>
  </si>
  <si>
    <t xml:space="preserve">Lookup technician name from Technicians table using selected ID.</t>
  </si>
  <si>
    <t xml:space="preserve">Tickets Assigned (Total)</t>
  </si>
  <si>
    <t xml:space="preserve">Total tickets ever assigned to this technician.</t>
  </si>
  <si>
    <t xml:space="preserve">Current open workload for this technician.</t>
  </si>
  <si>
    <t xml:space="preserve">Count of resolved + closed tickets for this technician.</t>
  </si>
  <si>
    <t xml:space="preserve">Avg Resolution Time</t>
  </si>
  <si>
    <t xml:space="preserve">Average resolution hours for this technician. Compare to team average.</t>
  </si>
  <si>
    <t xml:space="preserve">SLA compliance rate for this technician.</t>
  </si>
  <si>
    <t xml:space="preserve">Average CSAT score for this technician's tickets.</t>
  </si>
  <si>
    <t xml:space="preserve">📊  PIVOT SUMMARIES — AGGREGATED ANALYTICS</t>
  </si>
  <si>
    <t xml:space="preserve">Pre-built summary tables | Replicate as Pivot Tables in Excel or use COUNTIFS formulas directly</t>
  </si>
  <si>
    <t xml:space="preserve">  📦 Tickets by Category</t>
  </si>
  <si>
    <t xml:space="preserve">  🎯 Tickets by Priority</t>
  </si>
  <si>
    <t xml:space="preserve">Avg Res. (hrs)</t>
  </si>
  <si>
    <t xml:space="preserve">SLA Met</t>
  </si>
  <si>
    <t xml:space="preserve">Compliance %</t>
  </si>
  <si>
    <t xml:space="preserve">Avg Response</t>
  </si>
  <si>
    <t xml:space="preserve">Avg Resolution</t>
  </si>
  <si>
    <t xml:space="preserve">  👨‍💻 Technician Performance</t>
  </si>
  <si>
    <t xml:space="preserve">  📈 Monthly Ticket Trend (Last 6 Months)</t>
  </si>
  <si>
    <t xml:space="preserve">Tech ID</t>
  </si>
  <si>
    <t xml:space="preserve">Name</t>
  </si>
  <si>
    <t xml:space="preserve">Assigned</t>
  </si>
  <si>
    <t xml:space="preserve">SLA Compliance</t>
  </si>
  <si>
    <t xml:space="preserve">CSAT</t>
  </si>
  <si>
    <t xml:space="preserve">Month</t>
  </si>
  <si>
    <t xml:space="preserve">New Tickets</t>
  </si>
  <si>
    <t xml:space="preserve">Oct-2024</t>
  </si>
  <si>
    <t xml:space="preserve">Nov-2024</t>
  </si>
  <si>
    <t xml:space="preserve">Dec-2024</t>
  </si>
  <si>
    <t xml:space="preserve">Jan-2025</t>
  </si>
  <si>
    <t xml:space="preserve">Feb-2025</t>
  </si>
  <si>
    <t xml:space="preserve">Mar-2025</t>
  </si>
  <si>
    <t xml:space="preserve">⏰  AGING TICKET REPORT</t>
  </si>
  <si>
    <t xml:space="preserve">Tracks open/in-progress tickets by age | Review daily | Escalate tickets &gt; 7 days</t>
  </si>
  <si>
    <t xml:space="preserve">Days Open</t>
  </si>
  <si>
    <t xml:space="preserve">Age Bucket</t>
  </si>
  <si>
    <t xml:space="preserve">Customer</t>
  </si>
  <si>
    <t xml:space="preserve">Escalation Flag</t>
  </si>
  <si>
    <t xml:space="preserve">Action Required</t>
  </si>
  <si>
    <t xml:space="preserve">&gt; 30 Days</t>
  </si>
  <si>
    <t xml:space="preserve">🔴 ESCALATE</t>
  </si>
  <si>
    <t xml:space="preserve">Immediate escalation to manager</t>
  </si>
  <si>
    <t xml:space="preserve">🟠 REVIEW</t>
  </si>
  <si>
    <t xml:space="preserve">15-30 Days</t>
  </si>
  <si>
    <t xml:space="preserve">4-7 Days</t>
  </si>
  <si>
    <t xml:space="preserve">Normal processing</t>
  </si>
  <si>
    <t xml:space="preserve">0-1 Days</t>
  </si>
  <si>
    <t xml:space="preserve">⚡  DAX MEASURES &amp; POWER BI IMPLEMENTATION GUIDE</t>
  </si>
  <si>
    <t xml:space="preserve">Copy-paste ready DAX measures | Step-by-step Power BI setup | Data model relationships</t>
  </si>
  <si>
    <t xml:space="preserve">  ▶  All DAX measures below should be created in Power BI Desktop under the 'Tickets' table unless noted otherwise. Use Home → New Measure.</t>
  </si>
  <si>
    <t xml:space="preserve">  1. Total Tickets</t>
  </si>
  <si>
    <t xml:space="preserve">Measure Name:</t>
  </si>
  <si>
    <t xml:space="preserve">[Total Tickets]</t>
  </si>
  <si>
    <t xml:space="preserve">Total Tickets = </t>
  </si>
  <si>
    <t xml:space="preserve">    COUNTROWS(Tickets)</t>
  </si>
  <si>
    <t xml:space="preserve">💡 Counts all rows in the Tickets table. Use as the base denominator for all % calculations.</t>
  </si>
  <si>
    <t xml:space="preserve">  2. Open Tickets</t>
  </si>
  <si>
    <t xml:space="preserve">[Open Tickets]</t>
  </si>
  <si>
    <t xml:space="preserve">Open Tickets = </t>
  </si>
  <si>
    <t xml:space="preserve">    CALCULATE(</t>
  </si>
  <si>
    <t xml:space="preserve">        COUNTROWS(Tickets),</t>
  </si>
  <si>
    <t xml:space="preserve">        Tickets[Status] IN {"Open", "In Progress", "Reopened"}</t>
  </si>
  <si>
    <t xml:space="preserve">    )</t>
  </si>
  <si>
    <t xml:space="preserve">💡 Counts tickets that are not yet resolved. This is your daily backlog number.</t>
  </si>
  <si>
    <t xml:space="preserve">  3. Resolved Tickets</t>
  </si>
  <si>
    <t xml:space="preserve">[Resolved Tickets]</t>
  </si>
  <si>
    <t xml:space="preserve">Resolved Tickets = </t>
  </si>
  <si>
    <t xml:space="preserve">        Tickets[Status] IN {"Resolved", "Closed"}</t>
  </si>
  <si>
    <t xml:space="preserve">💡 Counts all completed tickets. Use to track throughput and team productivity.</t>
  </si>
  <si>
    <t xml:space="preserve">  4. SLA Compliance %</t>
  </si>
  <si>
    <t xml:space="preserve">[SLA Compliance %]</t>
  </si>
  <si>
    <t xml:space="preserve">SLA Compliance % = </t>
  </si>
  <si>
    <t xml:space="preserve">    DIVIDE(</t>
  </si>
  <si>
    <t xml:space="preserve">        CALCULATE(COUNTROWS(Tickets), Tickets[SLA Breached] = "No"),</t>
  </si>
  <si>
    <t xml:space="preserve">        [Total Tickets],</t>
  </si>
  <si>
    <t xml:space="preserve">        0</t>
  </si>
  <si>
    <t xml:space="preserve">💡 Key metric. &gt;90% overall, &gt;95% for P1/P2. Add to a KPI card with target line.</t>
  </si>
  <si>
    <t xml:space="preserve">  5. SLA Breaches</t>
  </si>
  <si>
    <t xml:space="preserve">[SLA Breach Count]</t>
  </si>
  <si>
    <t xml:space="preserve">SLA Breach Count = </t>
  </si>
  <si>
    <t xml:space="preserve">        Tickets[SLA Breached] = "Yes"</t>
  </si>
  <si>
    <t xml:space="preserve">💡 Total tickets that violated SLA. Drill through by priority to find worst offenders.</t>
  </si>
  <si>
    <t xml:space="preserve">  6. Avg Response Time (hrs)</t>
  </si>
  <si>
    <t xml:space="preserve">[Avg Response Time]</t>
  </si>
  <si>
    <t xml:space="preserve">Avg Response Time = </t>
  </si>
  <si>
    <t xml:space="preserve">    AVERAGEX(</t>
  </si>
  <si>
    <t xml:space="preserve">        FILTER(Tickets, NOT(ISBLANK(Tickets[Response Time (hrs)]))),</t>
  </si>
  <si>
    <t xml:space="preserve">        Tickets[Response Time (hrs)]</t>
  </si>
  <si>
    <t xml:space="preserve">💡 Average hours from ticket creation to first response. Exclude blank values using FILTER.</t>
  </si>
  <si>
    <t xml:space="preserve">  7. Avg Resolution Time (hrs)</t>
  </si>
  <si>
    <t xml:space="preserve">[Avg Resolution Time]</t>
  </si>
  <si>
    <t xml:space="preserve">Avg Resolution Time = </t>
  </si>
  <si>
    <t xml:space="preserve">        FILTER(Tickets, NOT(ISBLANK(Tickets[Resolution Time (hrs)]))),</t>
  </si>
  <si>
    <t xml:space="preserve">        Tickets[Resolution Time (hrs)]</t>
  </si>
  <si>
    <t xml:space="preserve">💡 Average hours from creation to resolution. Compare by priority and technician.</t>
  </si>
  <si>
    <t xml:space="preserve">  8. Ticket Backlog</t>
  </si>
  <si>
    <t xml:space="preserve">[Ticket Backlog]</t>
  </si>
  <si>
    <t xml:space="preserve">Ticket Backlog = </t>
  </si>
  <si>
    <t xml:space="preserve">        Tickets[Status] IN {"Open", "In Progress"}</t>
  </si>
  <si>
    <t xml:space="preserve">💡 Active unresolved tickets. Plot as a trend line to show if backlog is growing or shrinking.</t>
  </si>
  <si>
    <t xml:space="preserve">  9. Aging Tickets &gt; 7 Days</t>
  </si>
  <si>
    <t xml:space="preserve">[Aging Tickets 7d+]</t>
  </si>
  <si>
    <t xml:space="preserve">Aging Tickets 7d+ = </t>
  </si>
  <si>
    <t xml:space="preserve">        Tickets[Status] = "Open",</t>
  </si>
  <si>
    <t xml:space="preserve">        DATEDIFF(Tickets[Created Date], TODAY(), DAY) &gt; 7</t>
  </si>
  <si>
    <t xml:space="preserve">💡 Open tickets older than 7 days. Add conditional formatting: red if &gt; 0. Critical KPI.</t>
  </si>
  <si>
    <t xml:space="preserve">  10. Aging Tickets &gt; 30 Days</t>
  </si>
  <si>
    <t xml:space="preserve">[Aging Tickets 30d+]</t>
  </si>
  <si>
    <t xml:space="preserve">Aging Tickets 30d+ = </t>
  </si>
  <si>
    <t xml:space="preserve">        DATEDIFF(Tickets[Created Date], TODAY(), DAY) &gt; 30</t>
  </si>
  <si>
    <t xml:space="preserve">💡 Severely aged open tickets. Should be zero in a healthy helpdesk. Escalate immediately.</t>
  </si>
  <si>
    <t xml:space="preserve">  11. First Contact Resolution %</t>
  </si>
  <si>
    <t xml:space="preserve">[FCR %]</t>
  </si>
  <si>
    <t xml:space="preserve">FCR % = </t>
  </si>
  <si>
    <t xml:space="preserve">        CALCULATE(</t>
  </si>
  <si>
    <t xml:space="preserve">            COUNTROWS(Tickets),</t>
  </si>
  <si>
    <t xml:space="preserve">            Tickets[Reopen Count] = 0,</t>
  </si>
  <si>
    <t xml:space="preserve">            Tickets[Status] IN {"Resolved", "Closed"}</t>
  </si>
  <si>
    <t xml:space="preserve">        ),</t>
  </si>
  <si>
    <t xml:space="preserve">        CALCULATE(COUNTROWS(Tickets), Tickets[Status] IN {"Resolved", "Closed"}),</t>
  </si>
  <si>
    <t xml:space="preserve">💡 % of resolved tickets never reopened. Target &gt;80%. Low FCR = poor quality resolutions.</t>
  </si>
  <si>
    <t xml:space="preserve">  12. CSAT Average</t>
  </si>
  <si>
    <t xml:space="preserve">[CSAT Average]</t>
  </si>
  <si>
    <t xml:space="preserve">CSAT Average = </t>
  </si>
  <si>
    <t xml:space="preserve">        FILTER(Tickets, NOT(ISBLANK(Tickets[Satisfaction Score]))),</t>
  </si>
  <si>
    <t xml:space="preserve">        Tickets[Satisfaction Score]</t>
  </si>
  <si>
    <t xml:space="preserve">💡 Average customer satisfaction out of 5. Target &gt;=4.0. Segment by technician and category.</t>
  </si>
  <si>
    <t xml:space="preserve">  13. Reopen Rate %</t>
  </si>
  <si>
    <t xml:space="preserve">[Reopen Rate %]</t>
  </si>
  <si>
    <t xml:space="preserve">Reopen Rate % = </t>
  </si>
  <si>
    <t xml:space="preserve">        CALCULATE(COUNTROWS(Tickets), Tickets[Status] = "Reopened"),</t>
  </si>
  <si>
    <t xml:space="preserve">💡 % tickets reopened after resolution. Target &lt;5%. High rate signals systemic quality issue.</t>
  </si>
  <si>
    <t xml:space="preserve">  14. P1 SLA Compliance</t>
  </si>
  <si>
    <t xml:space="preserve">[P1 SLA Compliance %]</t>
  </si>
  <si>
    <t xml:space="preserve">P1 SLA Compliance % = </t>
  </si>
  <si>
    <t xml:space="preserve">        [SLA Compliance %],</t>
  </si>
  <si>
    <t xml:space="preserve">        Tickets[Priority] = "P1 - Critical"</t>
  </si>
  <si>
    <t xml:space="preserve">💡 SLA compliance for critical tickets only. Target &gt;98%. Must be monitored in real time.</t>
  </si>
  <si>
    <t xml:space="preserve">  15. Daily Ticket Volume (7d)</t>
  </si>
  <si>
    <t xml:space="preserve">[Daily Avg Tickets 7d]</t>
  </si>
  <si>
    <t xml:space="preserve">Daily Avg Tickets 7d = </t>
  </si>
  <si>
    <t xml:space="preserve">            DATESINPERIOD('Date'[Date], TODAY(), -7, DAY)</t>
  </si>
  <si>
    <t xml:space="preserve">        7,</t>
  </si>
  <si>
    <t xml:space="preserve">💡 Requires a Date dimension table. Average daily tickets over last 7 days for capacity planning.</t>
  </si>
  <si>
    <t xml:space="preserve">  🔄  POWER QUERY STEPS (Data Cleaning in Power BI)</t>
  </si>
  <si>
    <t xml:space="preserve">Step 1: Import Excel</t>
  </si>
  <si>
    <t xml:space="preserve">Get Data → Excel Workbook → Select this file → Load all 4 tables: Tickets, Technicians, SLA Rules, Categories</t>
  </si>
  <si>
    <t xml:space="preserve">Step 2: Remove Blank Rows</t>
  </si>
  <si>
    <t xml:space="preserve">Transform → Remove Rows → Remove Blank Rows | Apply to Tickets table first</t>
  </si>
  <si>
    <t xml:space="preserve">Step 3: Set Data Types</t>
  </si>
  <si>
    <t xml:space="preserve">Select each column → set Date columns to Date type, numeric columns to Decimal/Whole Number, text to Text</t>
  </si>
  <si>
    <t xml:space="preserve">Step 4: Add Age Column</t>
  </si>
  <si>
    <t xml:space="preserve">Add Column → Custom Column: Age (Days) = Number.From(DateTime.LocalNow()) - Number.From([Created Date])</t>
  </si>
  <si>
    <t xml:space="preserve">Step 5: Add Month Column</t>
  </si>
  <si>
    <t xml:space="preserve">Add Column → Date → Month → Start of Month | Name it [Month Year] | Format as 'MMM YYYY'</t>
  </si>
  <si>
    <t xml:space="preserve">Step 6: Add SLA Status</t>
  </si>
  <si>
    <t xml:space="preserve">Add Column → Conditional Column: if [SLA Breached] = "Yes" then "Breach" else "Met"</t>
  </si>
  <si>
    <t xml:space="preserve">Step 7: Create Date Table</t>
  </si>
  <si>
    <t xml:space="preserve">Power BI Desktop: Modeling → New Table → DateTable = CALENDAR(DATE(2024,1,1), DATE(2026,12,31))</t>
  </si>
  <si>
    <t xml:space="preserve">Step 8: Set Relationships</t>
  </si>
  <si>
    <t xml:space="preserve">Model View: Tickets[Technician ID] → Technicians[Technician ID] (Many-to-One) | Tickets[Priority] → SLA Rules[Priority]</t>
  </si>
  <si>
    <t xml:space="preserve">Step 9: Mark Date Table</t>
  </si>
  <si>
    <t xml:space="preserve">Select DateTable → Table Tools → Mark as Date Table → Choose [Date] column</t>
  </si>
  <si>
    <t xml:space="preserve">Step 10: Create Measures Table</t>
  </si>
  <si>
    <t xml:space="preserve">Home → Enter Data → Name it 'Measures' → Paste all DAX measures above into this table</t>
  </si>
  <si>
    <t xml:space="preserve">🚦  CONDITIONAL FORMATTING &amp; ALERT RULES</t>
  </si>
  <si>
    <t xml:space="preserve">Apply these rules in Excel and Power BI for automatic visual alerts</t>
  </si>
  <si>
    <t xml:space="preserve">  Excel — Conditional Formatting Rules</t>
  </si>
  <si>
    <t xml:space="preserve">SLA Breach Column (Q)</t>
  </si>
  <si>
    <t xml:space="preserve">Formula: =Q4="Yes" | Format: Red fill (#FADBD8), Red bold text | Apply to: Q4:Q500</t>
  </si>
  <si>
    <t xml:space="preserve">Priority Column (F) — P1</t>
  </si>
  <si>
    <t xml:space="preserve">Formula: =F4="P1 - Critical" | Format: Dark red fill, White bold text | Apply to: F4:F500</t>
  </si>
  <si>
    <t xml:space="preserve">Priority Column (F) — P2</t>
  </si>
  <si>
    <t xml:space="preserve">Formula: =F4="P2 - High" | Format: Orange fill, White bold text | Apply to: F4:F500</t>
  </si>
  <si>
    <t xml:space="preserve">Aging Open Tickets</t>
  </si>
  <si>
    <t xml:space="preserve">Formula: =AND(I4="Open",B4&lt;=TODAY()-7) | Format: Red fill entire row | Apply to: A4:T500</t>
  </si>
  <si>
    <t xml:space="preserve">Response Time &gt; SLA</t>
  </si>
  <si>
    <t xml:space="preserve">Formula: =O4&gt;N4 | Format: Orange fill | Apply to: O4:O500</t>
  </si>
  <si>
    <t xml:space="preserve">Low CSAT (≤2)</t>
  </si>
  <si>
    <t xml:space="preserve">Formula: =AND(S4&lt;&gt;"",S4&lt;=2) | Format: Red background | Apply to: S4:S500</t>
  </si>
  <si>
    <t xml:space="preserve">High CSAT (=5)</t>
  </si>
  <si>
    <t xml:space="preserve">Formula: =S4=5 | Format: Green background | Apply to: S4:S500</t>
  </si>
  <si>
    <t xml:space="preserve">Formula: =I4="Reopened" | Format: Purple fill | Apply to: A4:T500</t>
  </si>
  <si>
    <t xml:space="preserve">  Power BI — KPI Card Targets</t>
  </si>
  <si>
    <t xml:space="preserve">SLA Compliance % Card</t>
  </si>
  <si>
    <t xml:space="preserve">Value: [SLA Compliance %] | Target: 0.90 | Status: Bad if &lt; 0.85, Warning if &lt; 0.90, Good if &gt;= 0.90</t>
  </si>
  <si>
    <t xml:space="preserve">CSAT Score Card</t>
  </si>
  <si>
    <t xml:space="preserve">Value: [CSAT Average] | Target: 4.0 | Status: Bad if &lt; 3.5, Warning if &lt; 4.0, Good if &gt;= 4.0</t>
  </si>
  <si>
    <t xml:space="preserve">Open Tickets Card</t>
  </si>
  <si>
    <t xml:space="preserve">Value: [Open Tickets] | Target: 20 | Status: Bad if &gt; 30, Warning if &gt; 20, Good if &lt;= 20</t>
  </si>
  <si>
    <t xml:space="preserve">P1 SLA Compliance Card</t>
  </si>
  <si>
    <t xml:space="preserve">Value: [P1 SLA Compliance %] | Target: 0.98 | Status: Bad if &lt; 0.95, Good if &gt;= 0.98</t>
  </si>
  <si>
    <t xml:space="preserve">Aging Tickets Card</t>
  </si>
  <si>
    <t xml:space="preserve">Value: [Aging Tickets 7d+] | Target: 0 | Status: Bad if &gt; 5, Warning if &gt; 0, Good if = 0</t>
  </si>
  <si>
    <t xml:space="preserve">  Power BI — Table Conditional Formatting</t>
  </si>
  <si>
    <t xml:space="preserve">Resolution Time Column</t>
  </si>
  <si>
    <t xml:space="preserve">Background color: Red scale. Min = 0 (white), Max = SLA target * 2 (red). Highlights slow resolution.</t>
  </si>
  <si>
    <t xml:space="preserve">SLA Breached Column</t>
  </si>
  <si>
    <t xml:space="preserve">Rules: Yes = Red (#FADBD8), No = Green (#D5F5E3). Apply by field value.</t>
  </si>
  <si>
    <t xml:space="preserve">Priority Column</t>
  </si>
  <si>
    <t xml:space="preserve">Rules: P1=Dark Red, P2=Orange, P3=Gold, P4=Teal. Use 'Format by field value' with color table.</t>
  </si>
  <si>
    <t xml:space="preserve">Icon set: 5=Green circle, 4=Yellow circle, ≤3=Red circle. Use 'Icons' formatting option.</t>
  </si>
  <si>
    <t xml:space="preserve">Days Open (Aging Table)</t>
  </si>
  <si>
    <t xml:space="preserve">Data bars: min 0, max 30. Red gradient. Shows at a glance which tickets are oldest.</t>
  </si>
  <si>
    <t xml:space="preserve">  Alert Automation Ideas</t>
  </si>
  <si>
    <t xml:space="preserve">Power Automate — P1 Alert</t>
  </si>
  <si>
    <t xml:space="preserve">Trigger: When ticket added with Priority=P1 → Send Teams message to IT Manager with ticket details immediately</t>
  </si>
  <si>
    <t xml:space="preserve">Power Automate — SLA Warning</t>
  </si>
  <si>
    <t xml:space="preserve">Trigger: Scheduled (every 30 min) → Query tickets approaching SLA → Post to Teams helpdesk channel</t>
  </si>
  <si>
    <t xml:space="preserve">Power Automate — Daily Digest</t>
  </si>
  <si>
    <t xml:space="preserve">Trigger: Weekday 8:00 AM → Get open tickets count → Email IT Manager with KPI summary</t>
  </si>
  <si>
    <t xml:space="preserve">Apps Script (Google)</t>
  </si>
  <si>
    <t xml:space="preserve">Trigger: onEdit → If status column changes to 'Open' → Send email to assigned technician automatically</t>
  </si>
  <si>
    <t xml:space="preserve">Power BI Alerts</t>
  </si>
  <si>
    <t xml:space="preserve">Pin KPI cards to dashboard → Set alert: Notify me if Open Tickets &gt; 30 or SLA % drops below 85%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</si>
</sst>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%"/>
    <numFmt numFmtId="167" formatCode="0.0"/>
    <numFmt numFmtId="168" formatCode="0%"/>
    <numFmt numFmtId="169" formatCode="dd\-mmm\-yyyy"/>
    <numFmt numFmtId="170" formatCode="0.00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30"/>
      <color rgb="FF0D1B2A"/>
      <name val="Arial"/>
      <family val="0"/>
      <charset val="1"/>
    </font>
    <font>
      <b val="true"/>
      <sz val="30"/>
      <color rgb="FF2E86C1"/>
      <name val="Arial"/>
      <family val="0"/>
      <charset val="1"/>
    </font>
    <font>
      <b val="true"/>
      <sz val="30"/>
      <color rgb="FF1E8449"/>
      <name val="Arial"/>
      <family val="0"/>
      <charset val="1"/>
    </font>
    <font>
      <b val="true"/>
      <sz val="30"/>
      <color rgb="FF148F77"/>
      <name val="Arial"/>
      <family val="0"/>
      <charset val="1"/>
    </font>
    <font>
      <b val="true"/>
      <sz val="30"/>
      <color rgb="FF6C3483"/>
      <name val="Arial"/>
      <family val="0"/>
      <charset val="1"/>
    </font>
    <font>
      <sz val="9"/>
      <color rgb="FFBDC3C7"/>
      <name val="Arial"/>
      <family val="0"/>
      <charset val="1"/>
    </font>
    <font>
      <b val="true"/>
      <sz val="24"/>
      <color rgb="FF922B21"/>
      <name val="Arial"/>
      <family val="0"/>
      <charset val="1"/>
    </font>
    <font>
      <b val="true"/>
      <sz val="24"/>
      <color rgb="FFCA6F1E"/>
      <name val="Arial"/>
      <family val="0"/>
      <charset val="1"/>
    </font>
    <font>
      <b val="true"/>
      <sz val="24"/>
      <color rgb="FF1E844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20"/>
      <color rgb="FFFFFFFF"/>
      <name val="Arial"/>
      <family val="0"/>
      <charset val="1"/>
    </font>
    <font>
      <sz val="10"/>
      <color rgb="FF2C3E50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922B2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2C3E50"/>
      <name val="Arial"/>
      <family val="0"/>
      <charset val="1"/>
    </font>
    <font>
      <b val="true"/>
      <sz val="11"/>
      <color rgb="FF2E86C1"/>
      <name val="Arial"/>
      <family val="0"/>
      <charset val="1"/>
    </font>
    <font>
      <sz val="9"/>
      <color rgb="FF2C3E50"/>
      <name val="Arial"/>
      <family val="0"/>
      <charset val="1"/>
    </font>
    <font>
      <i val="true"/>
      <sz val="9"/>
      <color rgb="FF2C3E50"/>
      <name val="Arial"/>
      <family val="0"/>
      <charset val="1"/>
    </font>
    <font>
      <i val="true"/>
      <sz val="9"/>
      <color rgb="FFCA6F1E"/>
      <name val="Arial"/>
      <family val="0"/>
      <charset val="1"/>
    </font>
    <font>
      <b val="true"/>
      <sz val="10"/>
      <color rgb="FF0D1B2A"/>
      <name val="Arial"/>
      <family val="0"/>
      <charset val="1"/>
    </font>
    <font>
      <b val="true"/>
      <sz val="12"/>
      <color rgb="FFCA6F1E"/>
      <name val="Arial"/>
      <family val="0"/>
      <charset val="1"/>
    </font>
    <font>
      <i val="true"/>
      <sz val="10"/>
      <color rgb="FF2C3E50"/>
      <name val="Arial"/>
      <family val="0"/>
      <charset val="1"/>
    </font>
    <font>
      <b val="true"/>
      <sz val="10"/>
      <color rgb="FF2E86C1"/>
      <name val="Arial"/>
      <family val="0"/>
      <charset val="1"/>
    </font>
    <font>
      <b val="true"/>
      <sz val="10"/>
      <color rgb="FFCA6F1E"/>
      <name val="Arial"/>
      <family val="0"/>
      <charset val="1"/>
    </font>
    <font>
      <sz val="10"/>
      <color rgb="FF2C3E50"/>
      <name val="Courier New"/>
      <family val="0"/>
      <charset val="1"/>
    </font>
    <font>
      <b val="true"/>
      <sz val="14"/>
      <color rgb="FFFFFFFF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2E86C1"/>
        <bgColor rgb="FF4F81BD"/>
      </patternFill>
    </fill>
    <fill>
      <patternFill patternType="solid">
        <fgColor rgb="FF1E8449"/>
        <bgColor rgb="FF148F77"/>
      </patternFill>
    </fill>
    <fill>
      <patternFill patternType="solid">
        <fgColor rgb="FF148F77"/>
        <bgColor rgb="FF1E8449"/>
      </patternFill>
    </fill>
    <fill>
      <patternFill patternType="solid">
        <fgColor rgb="FF6C3483"/>
        <bgColor rgb="FF922B21"/>
      </patternFill>
    </fill>
    <fill>
      <patternFill patternType="solid">
        <fgColor rgb="FFFFFFFF"/>
        <bgColor rgb="FFF9F9F9"/>
      </patternFill>
    </fill>
    <fill>
      <patternFill patternType="solid">
        <fgColor rgb="FF922B21"/>
        <bgColor rgb="FF800000"/>
      </patternFill>
    </fill>
    <fill>
      <patternFill patternType="solid">
        <fgColor rgb="FFCA6F1E"/>
        <bgColor rgb="FFC0504D"/>
      </patternFill>
    </fill>
    <fill>
      <patternFill patternType="solid">
        <fgColor rgb="FF1B4F8A"/>
        <bgColor rgb="FF2C3E50"/>
      </patternFill>
    </fill>
    <fill>
      <patternFill patternType="solid">
        <fgColor rgb="FFF2F3F4"/>
        <bgColor rgb="FFF0F4F8"/>
      </patternFill>
    </fill>
    <fill>
      <patternFill patternType="solid">
        <fgColor rgb="FFB7950B"/>
        <bgColor rgb="FFCA6F1E"/>
      </patternFill>
    </fill>
    <fill>
      <patternFill patternType="solid">
        <fgColor rgb="FFEDE7F6"/>
        <bgColor rgb="FFF2F3F4"/>
      </patternFill>
    </fill>
    <fill>
      <patternFill patternType="solid">
        <fgColor rgb="FFD5F5E3"/>
        <bgColor rgb="FFD6EAF8"/>
      </patternFill>
    </fill>
    <fill>
      <patternFill patternType="solid">
        <fgColor rgb="FFD6EAF8"/>
        <bgColor rgb="FFD5F5E3"/>
      </patternFill>
    </fill>
    <fill>
      <patternFill patternType="solid">
        <fgColor rgb="FFFEF9E7"/>
        <bgColor rgb="FFF9F9F9"/>
      </patternFill>
    </fill>
    <fill>
      <patternFill patternType="solid">
        <fgColor rgb="FFFADBD8"/>
        <bgColor rgb="FFEDE7F6"/>
      </patternFill>
    </fill>
    <fill>
      <patternFill patternType="solid">
        <fgColor rgb="FFF8F9FA"/>
        <bgColor rgb="FFF9F9F9"/>
      </patternFill>
    </fill>
    <fill>
      <patternFill patternType="solid">
        <fgColor rgb="FFF0F4F8"/>
        <bgColor rgb="FFF2F3F4"/>
      </patternFill>
    </fill>
    <fill>
      <patternFill patternType="solid">
        <fgColor rgb="FF2C3E50"/>
        <bgColor rgb="FF1B4F8A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>
        <color rgb="FF1B4F8A"/>
      </left>
      <right/>
      <top style="medium">
        <color rgb="FF1B4F8A"/>
      </top>
      <bottom/>
      <diagonal/>
    </border>
    <border diagonalUp="false" diagonalDown="false">
      <left style="thin">
        <color rgb="FFBDC3C7"/>
      </left>
      <right/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8899AA"/>
      </left>
      <right style="thin">
        <color rgb="FF8899AA"/>
      </right>
      <top style="thin">
        <color rgb="FF8899AA"/>
      </top>
      <bottom style="thin">
        <color rgb="FF8899AA"/>
      </bottom>
      <diagonal/>
    </border>
    <border diagonalUp="false" diagonalDown="false">
      <left style="medium">
        <color rgb="FF1B4F8A"/>
      </left>
      <right/>
      <top style="medium">
        <color rgb="FF1B4F8A"/>
      </top>
      <bottom style="medium">
        <color rgb="FF1B4F8A"/>
      </bottom>
      <diagonal/>
    </border>
    <border diagonalUp="false" diagonalDown="false">
      <left style="medium">
        <color rgb="FF148F77"/>
      </left>
      <right/>
      <top style="medium">
        <color rgb="FF148F77"/>
      </top>
      <bottom style="medium">
        <color rgb="FF148F77"/>
      </bottom>
      <diagonal/>
    </border>
    <border diagonalUp="false" diagonalDown="false">
      <left style="medium">
        <color rgb="FF6C3483"/>
      </left>
      <right/>
      <top style="medium">
        <color rgb="FF6C3483"/>
      </top>
      <bottom style="medium">
        <color rgb="FF6C3483"/>
      </bottom>
      <diagonal/>
    </border>
    <border diagonalUp="false" diagonalDown="false">
      <left style="medium">
        <color rgb="FF2E86C1"/>
      </left>
      <right/>
      <top style="medium">
        <color rgb="FF2E86C1"/>
      </top>
      <bottom style="medium">
        <color rgb="FF2E86C1"/>
      </bottom>
      <diagonal/>
    </border>
    <border diagonalUp="false" diagonalDown="false">
      <left style="medium">
        <color rgb="FF1B4F8A"/>
      </left>
      <right style="medium">
        <color rgb="FF1B4F8A"/>
      </right>
      <top style="medium">
        <color rgb="FF1B4F8A"/>
      </top>
      <bottom style="medium">
        <color rgb="FF1B4F8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1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1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1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1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1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1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1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5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3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1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1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1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1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2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1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148F77"/>
      <rgbColor rgb="FFBDC3C7"/>
      <rgbColor rgb="FF878787"/>
      <rgbColor rgb="FF9999FF"/>
      <rgbColor rgb="FF6C3483"/>
      <rgbColor rgb="FFFEF9E7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0F4F8"/>
      <rgbColor rgb="FFD5F5E3"/>
      <rgbColor rgb="FFF9F9F9"/>
      <rgbColor rgb="FFEDE7F6"/>
      <rgbColor rgb="FFF2F3F4"/>
      <rgbColor rgb="FFF8F9FA"/>
      <rgbColor rgb="FFFADBD8"/>
      <rgbColor rgb="FF2E86C1"/>
      <rgbColor rgb="FF4BACC6"/>
      <rgbColor rgb="FF9BBB59"/>
      <rgbColor rgb="FFFFCC00"/>
      <rgbColor rgb="FFF79646"/>
      <rgbColor rgb="FFCA6F1E"/>
      <rgbColor rgb="FF8064A2"/>
      <rgbColor rgb="FF8899AA"/>
      <rgbColor rgb="FF003366"/>
      <rgbColor rgb="FF1E8449"/>
      <rgbColor rgb="FF0D1B2A"/>
      <rgbColor rgb="FF333300"/>
      <rgbColor rgb="FF922B21"/>
      <rgbColor rgb="FFC0504D"/>
      <rgbColor rgb="FF1B4F8A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Dashboard!B19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Dashboard!$A$20:$A$25</c:f>
              <c:strCache>
                <c:ptCount val="6"/>
                <c:pt idx="0">
                  <c:v>Open</c:v>
                </c:pt>
                <c:pt idx="1">
                  <c:v>In Progress</c:v>
                </c:pt>
                <c:pt idx="2">
                  <c:v>Resolved</c:v>
                </c:pt>
                <c:pt idx="3">
                  <c:v>Closed</c:v>
                </c:pt>
                <c:pt idx="4">
                  <c:v>Reopened</c:v>
                </c:pt>
                <c:pt idx="5">
                  <c:v>Pending User</c:v>
                </c:pt>
              </c:strCache>
            </c:strRef>
          </c:cat>
          <c:val>
            <c:numRef>
              <c:f>Dashboard!$B$20:$B$25</c:f>
              <c:numCache>
                <c:formatCode>General</c:formatCode>
                <c:ptCount val="6"/>
                <c:pt idx="0">
                  <c:v>7</c:v>
                </c:pt>
                <c:pt idx="1">
                  <c:v>12</c:v>
                </c:pt>
                <c:pt idx="2">
                  <c:v>15</c:v>
                </c:pt>
                <c:pt idx="3">
                  <c:v>21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Dashboard!F19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Dashboard!$E$20:$E$27</c:f>
              <c:strCache>
                <c:ptCount val="8"/>
                <c:pt idx="0">
                  <c:v>Hardware</c:v>
                </c:pt>
                <c:pt idx="1">
                  <c:v>Software</c:v>
                </c:pt>
                <c:pt idx="2">
                  <c:v>Network</c:v>
                </c:pt>
                <c:pt idx="3">
                  <c:v>Access &amp; Security</c:v>
                </c:pt>
                <c:pt idx="4">
                  <c:v>Email &amp; Communication</c:v>
                </c:pt>
                <c:pt idx="5">
                  <c:v>Printer</c:v>
                </c:pt>
                <c:pt idx="6">
                  <c:v>Mobile Device</c:v>
                </c:pt>
                <c:pt idx="7">
                  <c:v>Other</c:v>
                </c:pt>
              </c:strCache>
            </c:strRef>
          </c:cat>
          <c:val>
            <c:numRef>
              <c:f>Dashboard!$F$20:$F$27</c:f>
              <c:numCache>
                <c:formatCode>General</c:formatCode>
                <c:ptCount val="8"/>
                <c:pt idx="0">
                  <c:v>8</c:v>
                </c:pt>
                <c:pt idx="1">
                  <c:v>6</c:v>
                </c:pt>
                <c:pt idx="2">
                  <c:v>14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4</c:v>
                </c:pt>
                <c:pt idx="7">
                  <c:v>6</c:v>
                </c:pt>
              </c:numCache>
            </c:numRef>
          </c:val>
        </c:ser>
        <c:ser>
          <c:idx val="1"/>
          <c:order val="1"/>
          <c:tx>
            <c:strRef>
              <c:f>Dashboard!G19</c:f>
              <c:strCache>
                <c:ptCount val="1"/>
                <c:pt idx="0">
                  <c:v>SLA Breach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Dashboard!$E$20:$E$27</c:f>
              <c:strCache>
                <c:ptCount val="8"/>
                <c:pt idx="0">
                  <c:v>Hardware</c:v>
                </c:pt>
                <c:pt idx="1">
                  <c:v>Software</c:v>
                </c:pt>
                <c:pt idx="2">
                  <c:v>Network</c:v>
                </c:pt>
                <c:pt idx="3">
                  <c:v>Access &amp; Security</c:v>
                </c:pt>
                <c:pt idx="4">
                  <c:v>Email &amp; Communication</c:v>
                </c:pt>
                <c:pt idx="5">
                  <c:v>Printer</c:v>
                </c:pt>
                <c:pt idx="6">
                  <c:v>Mobile Device</c:v>
                </c:pt>
                <c:pt idx="7">
                  <c:v>Other</c:v>
                </c:pt>
              </c:strCache>
            </c:strRef>
          </c:cat>
          <c:val>
            <c:numRef>
              <c:f>Dashboard!$G$20:$G$27</c:f>
              <c:numCache>
                <c:formatCode>General</c:formatCode>
                <c:ptCount val="8"/>
                <c:pt idx="0">
                  <c:v>3</c:v>
                </c:pt>
                <c:pt idx="1">
                  <c:v>4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  <c:pt idx="7">
                  <c:v>4</c:v>
                </c:pt>
              </c:numCache>
            </c:numRef>
          </c:val>
        </c:ser>
        <c:gapWidth val="150"/>
        <c:overlap val="0"/>
        <c:axId val="41803102"/>
        <c:axId val="88660413"/>
      </c:barChart>
      <c:catAx>
        <c:axId val="418031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660413"/>
        <c:crosses val="autoZero"/>
        <c:auto val="1"/>
        <c:lblAlgn val="ctr"/>
        <c:lblOffset val="100"/>
        <c:noMultiLvlLbl val="0"/>
      </c:catAx>
      <c:valAx>
        <c:axId val="886604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8031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Technician Workload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Dashboard!J19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Dashboard!$I$20:$I$24</c:f>
              <c:strCache>
                <c:ptCount val="5"/>
                <c:pt idx="0">
                  <c:v>Ahmed Al-Rashid</c:v>
                </c:pt>
                <c:pt idx="1">
                  <c:v>Sara Mohammed</c:v>
                </c:pt>
                <c:pt idx="2">
                  <c:v>Khalid Hassan</c:v>
                </c:pt>
                <c:pt idx="3">
                  <c:v>Fatima Al-Ali</c:v>
                </c:pt>
                <c:pt idx="4">
                  <c:v>Omar Yusuf</c:v>
                </c:pt>
              </c:strCache>
            </c:strRef>
          </c:cat>
          <c:val>
            <c:numRef>
              <c:f>Dashboard!$J$20:$J$24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ser>
          <c:idx val="1"/>
          <c:order val="1"/>
          <c:tx>
            <c:strRef>
              <c:f>Dashboard!K19</c:f>
              <c:strCache>
                <c:ptCount val="1"/>
                <c:pt idx="0">
                  <c:v>Resolved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Dashboard!$I$20:$I$24</c:f>
              <c:strCache>
                <c:ptCount val="5"/>
                <c:pt idx="0">
                  <c:v>Ahmed Al-Rashid</c:v>
                </c:pt>
                <c:pt idx="1">
                  <c:v>Sara Mohammed</c:v>
                </c:pt>
                <c:pt idx="2">
                  <c:v>Khalid Hassan</c:v>
                </c:pt>
                <c:pt idx="3">
                  <c:v>Fatima Al-Ali</c:v>
                </c:pt>
                <c:pt idx="4">
                  <c:v>Omar Yusuf</c:v>
                </c:pt>
              </c:strCache>
            </c:strRef>
          </c:cat>
          <c:val>
            <c:numRef>
              <c:f>Dashboard!$K$20:$K$24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10</c:v>
                </c:pt>
                <c:pt idx="3">
                  <c:v>5</c:v>
                </c:pt>
                <c:pt idx="4">
                  <c:v>10</c:v>
                </c:pt>
              </c:numCache>
            </c:numRef>
          </c:val>
        </c:ser>
        <c:gapWidth val="150"/>
        <c:overlap val="0"/>
        <c:axId val="86027815"/>
        <c:axId val="15740611"/>
      </c:barChart>
      <c:catAx>
        <c:axId val="86027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740611"/>
        <c:crosses val="autoZero"/>
        <c:auto val="1"/>
        <c:lblAlgn val="ctr"/>
        <c:lblOffset val="100"/>
        <c:noMultiLvlLbl val="0"/>
      </c:catAx>
      <c:valAx>
        <c:axId val="157406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0278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0</xdr:rowOff>
    </xdr:from>
    <xdr:to>
      <xdr:col>5</xdr:col>
      <xdr:colOff>576360</xdr:colOff>
      <xdr:row>49</xdr:row>
      <xdr:rowOff>149760</xdr:rowOff>
    </xdr:to>
    <xdr:graphicFrame>
      <xdr:nvGraphicFramePr>
        <xdr:cNvPr id="0" name="Chart 1"/>
        <xdr:cNvGraphicFramePr/>
      </xdr:nvGraphicFramePr>
      <xdr:xfrm>
        <a:off x="0" y="7020000"/>
        <a:ext cx="39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0</xdr:rowOff>
    </xdr:from>
    <xdr:to>
      <xdr:col>12</xdr:col>
      <xdr:colOff>246600</xdr:colOff>
      <xdr:row>49</xdr:row>
      <xdr:rowOff>149760</xdr:rowOff>
    </xdr:to>
    <xdr:graphicFrame>
      <xdr:nvGraphicFramePr>
        <xdr:cNvPr id="1" name="Chart 2"/>
        <xdr:cNvGraphicFramePr/>
      </xdr:nvGraphicFramePr>
      <xdr:xfrm>
        <a:off x="3383280" y="702000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29</xdr:row>
      <xdr:rowOff>0</xdr:rowOff>
    </xdr:from>
    <xdr:to>
      <xdr:col>19</xdr:col>
      <xdr:colOff>543960</xdr:colOff>
      <xdr:row>49</xdr:row>
      <xdr:rowOff>149760</xdr:rowOff>
    </xdr:to>
    <xdr:graphicFrame>
      <xdr:nvGraphicFramePr>
        <xdr:cNvPr id="2" name="Chart 3"/>
        <xdr:cNvGraphicFramePr/>
      </xdr:nvGraphicFramePr>
      <xdr:xfrm>
        <a:off x="8035200" y="7020000"/>
        <a:ext cx="46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false"/>
  </sheetPr>
  <dimension ref="A1:R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4"/>
    <col collapsed="false" customWidth="true" hidden="false" outlineLevel="0" max="4" min="4" style="0" width="2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"/>
    <col collapsed="false" customWidth="true" hidden="false" outlineLevel="0" max="9" min="9" style="0" width="20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2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4"/>
    <col collapsed="false" customWidth="true" hidden="false" outlineLevel="0" max="16" min="16" style="0" width="2"/>
    <col collapsed="false" customWidth="true" hidden="false" outlineLevel="0" max="18" min="17" style="0" width="10"/>
  </cols>
  <sheetData>
    <row r="1" customFormat="false" ht="5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9.5" hidden="false" customHeight="true" outlineLevel="0" collapsed="false"/>
    <row r="4" customFormat="false" ht="19.5" hidden="false" customHeight="true" outlineLevel="0" collapsed="false">
      <c r="A4" s="3" t="s">
        <v>2</v>
      </c>
      <c r="B4" s="3"/>
      <c r="C4" s="3"/>
      <c r="E4" s="4" t="s">
        <v>3</v>
      </c>
      <c r="F4" s="4"/>
      <c r="G4" s="4"/>
      <c r="I4" s="5" t="s">
        <v>4</v>
      </c>
      <c r="J4" s="5"/>
      <c r="K4" s="5"/>
      <c r="M4" s="6" t="s">
        <v>5</v>
      </c>
      <c r="N4" s="6"/>
      <c r="O4" s="6"/>
      <c r="Q4" s="7" t="s">
        <v>6</v>
      </c>
      <c r="R4" s="7"/>
    </row>
    <row r="5" customFormat="false" ht="19.5" hidden="false" customHeight="true" outlineLevel="0" collapsed="false">
      <c r="A5" s="3"/>
      <c r="B5" s="3"/>
      <c r="C5" s="3"/>
      <c r="E5" s="4"/>
      <c r="F5" s="4"/>
      <c r="G5" s="4"/>
      <c r="I5" s="5"/>
      <c r="J5" s="5"/>
      <c r="K5" s="5"/>
      <c r="M5" s="6"/>
      <c r="N5" s="6"/>
      <c r="O5" s="6"/>
      <c r="Q5" s="7"/>
      <c r="R5" s="7"/>
    </row>
    <row r="6" customFormat="false" ht="19.5" hidden="false" customHeight="true" outlineLevel="0" collapsed="false">
      <c r="A6" s="8" t="n">
        <f aca="false">COUNTA(Tickets!A4:A500)-COUNTBLANK(Tickets!A4:A500)</f>
        <v>-377</v>
      </c>
      <c r="B6" s="8"/>
      <c r="C6" s="8"/>
      <c r="E6" s="9" t="n">
        <f aca="false">COUNTIF(Tickets!I:I,"Open")+COUNTIF(Tickets!I:I,"In Progress")</f>
        <v>19</v>
      </c>
      <c r="F6" s="9"/>
      <c r="G6" s="9"/>
      <c r="I6" s="10" t="n">
        <f aca="false">IFERROR(COUNTIF(Tickets!Q:Q,"No")/MAX(COUNTA(Tickets!A4:A500)-COUNTBLANK(Tickets!A4:A500),1),0)</f>
        <v>30</v>
      </c>
      <c r="J6" s="10"/>
      <c r="K6" s="10"/>
      <c r="M6" s="11" t="n">
        <f aca="false">IFERROR(AVERAGEIF(Tickets!O:O,"&lt;&gt;",Tickets!O:O),0)</f>
        <v>25.1565</v>
      </c>
      <c r="N6" s="11"/>
      <c r="O6" s="11"/>
      <c r="Q6" s="12" t="n">
        <f aca="false">IFERROR(AVERAGEIF(Tickets!S:S,"&lt;&gt;",Tickets!S:S),0)</f>
        <v>3.83333333333333</v>
      </c>
      <c r="R6" s="12"/>
    </row>
    <row r="7" customFormat="false" ht="19.5" hidden="false" customHeight="true" outlineLevel="0" collapsed="false">
      <c r="A7" s="8"/>
      <c r="B7" s="8"/>
      <c r="C7" s="8"/>
      <c r="E7" s="9"/>
      <c r="F7" s="9"/>
      <c r="G7" s="9"/>
      <c r="I7" s="10"/>
      <c r="J7" s="10"/>
      <c r="K7" s="10"/>
      <c r="M7" s="11"/>
      <c r="N7" s="11"/>
      <c r="O7" s="11"/>
      <c r="Q7" s="12"/>
      <c r="R7" s="12"/>
    </row>
    <row r="8" customFormat="false" ht="19.5" hidden="false" customHeight="true" outlineLevel="0" collapsed="false">
      <c r="A8" s="8"/>
      <c r="B8" s="8"/>
      <c r="C8" s="8"/>
      <c r="E8" s="9"/>
      <c r="F8" s="9"/>
      <c r="G8" s="9"/>
      <c r="I8" s="10"/>
      <c r="J8" s="10"/>
      <c r="K8" s="10"/>
      <c r="M8" s="11"/>
      <c r="N8" s="11"/>
      <c r="O8" s="11"/>
      <c r="Q8" s="12"/>
      <c r="R8" s="12"/>
    </row>
    <row r="9" customFormat="false" ht="19.5" hidden="false" customHeight="true" outlineLevel="0" collapsed="false">
      <c r="A9" s="13"/>
      <c r="B9" s="13"/>
      <c r="C9" s="13"/>
      <c r="E9" s="13" t="s">
        <v>7</v>
      </c>
      <c r="F9" s="13"/>
      <c r="G9" s="13"/>
      <c r="I9" s="13" t="s">
        <v>8</v>
      </c>
      <c r="J9" s="13"/>
      <c r="K9" s="13"/>
      <c r="M9" s="13" t="s">
        <v>9</v>
      </c>
      <c r="N9" s="13"/>
      <c r="O9" s="13"/>
      <c r="Q9" s="13" t="s">
        <v>10</v>
      </c>
      <c r="R9" s="13"/>
    </row>
    <row r="10" customFormat="false" ht="19.5" hidden="false" customHeight="true" outlineLevel="0" collapsed="false"/>
    <row r="11" customFormat="false" ht="19.5" hidden="false" customHeight="true" outlineLevel="0" collapsed="false">
      <c r="A11" s="14" t="s">
        <v>11</v>
      </c>
      <c r="B11" s="14"/>
      <c r="C11" s="14"/>
      <c r="E11" s="15" t="s">
        <v>12</v>
      </c>
      <c r="F11" s="15"/>
      <c r="G11" s="15"/>
      <c r="I11" s="14" t="s">
        <v>13</v>
      </c>
      <c r="J11" s="14"/>
      <c r="K11" s="14"/>
      <c r="M11" s="5" t="s">
        <v>14</v>
      </c>
      <c r="N11" s="5"/>
      <c r="O11" s="5"/>
      <c r="Q11" s="14" t="s">
        <v>15</v>
      </c>
      <c r="R11" s="14"/>
    </row>
    <row r="12" customFormat="false" ht="19.5" hidden="false" customHeight="true" outlineLevel="0" collapsed="false">
      <c r="A12" s="14"/>
      <c r="B12" s="14"/>
      <c r="C12" s="14"/>
      <c r="E12" s="15"/>
      <c r="F12" s="15"/>
      <c r="G12" s="15"/>
      <c r="I12" s="14"/>
      <c r="J12" s="14"/>
      <c r="K12" s="14"/>
      <c r="M12" s="5"/>
      <c r="N12" s="5"/>
      <c r="O12" s="5"/>
      <c r="Q12" s="14"/>
      <c r="R12" s="14"/>
    </row>
    <row r="13" customFormat="false" ht="19.5" hidden="false" customHeight="true" outlineLevel="0" collapsed="false">
      <c r="A13" s="16" t="n">
        <f aca="false">COUNTIF(Tickets!Q:Q,"Yes")</f>
        <v>30</v>
      </c>
      <c r="B13" s="16"/>
      <c r="C13" s="16"/>
      <c r="E13" s="17" t="n">
        <f aca="false">IFERROR(COUNTIF(Tickets!I:I,"Reopened")/MAX(COUNTA(Tickets!A4:A500)-COUNTBLANK(Tickets!A4:A500),1),0)</f>
        <v>3</v>
      </c>
      <c r="F13" s="17"/>
      <c r="G13" s="17"/>
      <c r="I13" s="16" t="n">
        <f aca="true">COUNTIFS(Tickets!I:I,"Open",Tickets!B:B,"&lt;="&amp;(TODAY()-7))</f>
        <v>7</v>
      </c>
      <c r="J13" s="16"/>
      <c r="K13" s="16"/>
      <c r="M13" s="18" t="n">
        <f aca="true">COUNTIFS(Tickets!I:I,"Resolved",Tickets!D:D,TODAY())+COUNTIFS(Tickets!I:I,"Closed",Tickets!E:E,TODAY())</f>
        <v>0</v>
      </c>
      <c r="N13" s="18"/>
      <c r="O13" s="18"/>
      <c r="Q13" s="16" t="n">
        <f aca="false">COUNTIF(Tickets!F:F,"P1 - Critical")</f>
        <v>6</v>
      </c>
      <c r="R13" s="16"/>
    </row>
    <row r="14" customFormat="false" ht="19.5" hidden="false" customHeight="true" outlineLevel="0" collapsed="false">
      <c r="A14" s="16"/>
      <c r="B14" s="16"/>
      <c r="C14" s="16"/>
      <c r="E14" s="17"/>
      <c r="F14" s="17"/>
      <c r="G14" s="17"/>
      <c r="I14" s="16"/>
      <c r="J14" s="16"/>
      <c r="K14" s="16"/>
      <c r="M14" s="18"/>
      <c r="N14" s="18"/>
      <c r="O14" s="18"/>
      <c r="Q14" s="16"/>
      <c r="R14" s="16"/>
    </row>
    <row r="15" customFormat="false" ht="19.5" hidden="false" customHeight="true" outlineLevel="0" collapsed="false">
      <c r="A15" s="16"/>
      <c r="B15" s="16"/>
      <c r="C15" s="16"/>
      <c r="E15" s="17"/>
      <c r="F15" s="17"/>
      <c r="G15" s="17"/>
      <c r="I15" s="16"/>
      <c r="J15" s="16"/>
      <c r="K15" s="16"/>
      <c r="M15" s="18"/>
      <c r="N15" s="18"/>
      <c r="O15" s="18"/>
      <c r="Q15" s="16"/>
      <c r="R15" s="16"/>
    </row>
    <row r="16" customFormat="false" ht="19.5" hidden="false" customHeight="true" outlineLevel="0" collapsed="false">
      <c r="A16" s="13" t="s">
        <v>16</v>
      </c>
      <c r="B16" s="13"/>
      <c r="C16" s="13"/>
      <c r="E16" s="13" t="s">
        <v>17</v>
      </c>
      <c r="F16" s="13"/>
      <c r="G16" s="13"/>
      <c r="I16" s="13" t="s">
        <v>18</v>
      </c>
      <c r="J16" s="13"/>
      <c r="K16" s="13"/>
      <c r="M16" s="13" t="s">
        <v>19</v>
      </c>
      <c r="N16" s="13"/>
      <c r="O16" s="13"/>
      <c r="Q16" s="13" t="s">
        <v>20</v>
      </c>
      <c r="R16" s="13"/>
    </row>
    <row r="17" customFormat="false" ht="19.5" hidden="false" customHeight="true" outlineLevel="0" collapsed="false"/>
    <row r="18" customFormat="false" ht="24" hidden="false" customHeight="true" outlineLevel="0" collapsed="false">
      <c r="A18" s="19" t="s">
        <v>21</v>
      </c>
      <c r="B18" s="19"/>
      <c r="C18" s="19"/>
      <c r="E18" s="19" t="s">
        <v>22</v>
      </c>
      <c r="F18" s="19"/>
      <c r="G18" s="19"/>
      <c r="H18" s="19"/>
      <c r="I18" s="19" t="s">
        <v>23</v>
      </c>
      <c r="J18" s="19"/>
      <c r="K18" s="19"/>
      <c r="L18" s="19"/>
    </row>
    <row r="19" customFormat="false" ht="15" hidden="false" customHeight="false" outlineLevel="0" collapsed="false">
      <c r="A19" s="20" t="s">
        <v>24</v>
      </c>
      <c r="B19" s="20" t="s">
        <v>25</v>
      </c>
      <c r="E19" s="20" t="s">
        <v>26</v>
      </c>
      <c r="F19" s="20" t="s">
        <v>27</v>
      </c>
      <c r="G19" s="20" t="s">
        <v>28</v>
      </c>
      <c r="I19" s="20" t="s">
        <v>29</v>
      </c>
      <c r="J19" s="20" t="s">
        <v>30</v>
      </c>
      <c r="K19" s="20" t="s">
        <v>31</v>
      </c>
    </row>
    <row r="20" customFormat="false" ht="15" hidden="false" customHeight="false" outlineLevel="0" collapsed="false">
      <c r="A20" s="21" t="s">
        <v>30</v>
      </c>
      <c r="B20" s="22" t="n">
        <f aca="false">COUNTIF(Tickets!I:I,A20)</f>
        <v>7</v>
      </c>
      <c r="E20" s="21" t="s">
        <v>32</v>
      </c>
      <c r="F20" s="22" t="n">
        <f aca="false">COUNTIF(Tickets!G:G,E20)</f>
        <v>8</v>
      </c>
      <c r="G20" s="22" t="n">
        <f aca="false">COUNTIFS(Tickets!G:G,E20,Tickets!Q:Q,"Yes")</f>
        <v>3</v>
      </c>
      <c r="I20" s="21" t="s">
        <v>33</v>
      </c>
      <c r="J20" s="22" t="n">
        <f aca="false">COUNTIFS(Tickets!K:K,I20,Tickets!I:I,"Open")</f>
        <v>2</v>
      </c>
      <c r="K20" s="22" t="n">
        <f aca="false">COUNTIFS(Tickets!K:K,I20,Tickets!I:I,"Resolved")+COUNTIFS(Tickets!K:K,I20,Tickets!I:I,"Closed")</f>
        <v>6</v>
      </c>
    </row>
    <row r="21" customFormat="false" ht="15" hidden="false" customHeight="false" outlineLevel="0" collapsed="false">
      <c r="A21" s="21" t="s">
        <v>34</v>
      </c>
      <c r="B21" s="22" t="n">
        <f aca="false">COUNTIF(Tickets!I:I,A21)</f>
        <v>12</v>
      </c>
      <c r="E21" s="21" t="s">
        <v>35</v>
      </c>
      <c r="F21" s="22" t="n">
        <f aca="false">COUNTIF(Tickets!G:G,E21)</f>
        <v>6</v>
      </c>
      <c r="G21" s="22" t="n">
        <f aca="false">COUNTIFS(Tickets!G:G,E21,Tickets!Q:Q,"Yes")</f>
        <v>4</v>
      </c>
      <c r="I21" s="21" t="s">
        <v>36</v>
      </c>
      <c r="J21" s="22" t="n">
        <f aca="false">COUNTIFS(Tickets!K:K,I21,Tickets!I:I,"Open")</f>
        <v>1</v>
      </c>
      <c r="K21" s="22" t="n">
        <f aca="false">COUNTIFS(Tickets!K:K,I21,Tickets!I:I,"Resolved")+COUNTIFS(Tickets!K:K,I21,Tickets!I:I,"Closed")</f>
        <v>5</v>
      </c>
    </row>
    <row r="22" customFormat="false" ht="15" hidden="false" customHeight="false" outlineLevel="0" collapsed="false">
      <c r="A22" s="21" t="s">
        <v>31</v>
      </c>
      <c r="B22" s="22" t="n">
        <f aca="false">COUNTIF(Tickets!I:I,A22)</f>
        <v>15</v>
      </c>
      <c r="E22" s="21" t="s">
        <v>37</v>
      </c>
      <c r="F22" s="22" t="n">
        <f aca="false">COUNTIF(Tickets!G:G,E22)</f>
        <v>14</v>
      </c>
      <c r="G22" s="22" t="n">
        <f aca="false">COUNTIFS(Tickets!G:G,E22,Tickets!Q:Q,"Yes")</f>
        <v>8</v>
      </c>
      <c r="I22" s="21" t="s">
        <v>38</v>
      </c>
      <c r="J22" s="22" t="n">
        <f aca="false">COUNTIFS(Tickets!K:K,I22,Tickets!I:I,"Open")</f>
        <v>2</v>
      </c>
      <c r="K22" s="22" t="n">
        <f aca="false">COUNTIFS(Tickets!K:K,I22,Tickets!I:I,"Resolved")+COUNTIFS(Tickets!K:K,I22,Tickets!I:I,"Closed")</f>
        <v>10</v>
      </c>
    </row>
    <row r="23" customFormat="false" ht="15" hidden="false" customHeight="false" outlineLevel="0" collapsed="false">
      <c r="A23" s="21" t="s">
        <v>39</v>
      </c>
      <c r="B23" s="22" t="n">
        <f aca="false">COUNTIF(Tickets!I:I,A23)</f>
        <v>21</v>
      </c>
      <c r="E23" s="21" t="s">
        <v>40</v>
      </c>
      <c r="F23" s="22" t="n">
        <f aca="false">COUNTIF(Tickets!G:G,E23)</f>
        <v>8</v>
      </c>
      <c r="G23" s="22" t="n">
        <f aca="false">COUNTIFS(Tickets!G:G,E23,Tickets!Q:Q,"Yes")</f>
        <v>3</v>
      </c>
      <c r="I23" s="21" t="s">
        <v>41</v>
      </c>
      <c r="J23" s="22" t="n">
        <f aca="false">COUNTIFS(Tickets!K:K,I23,Tickets!I:I,"Open")</f>
        <v>1</v>
      </c>
      <c r="K23" s="22" t="n">
        <f aca="false">COUNTIFS(Tickets!K:K,I23,Tickets!I:I,"Resolved")+COUNTIFS(Tickets!K:K,I23,Tickets!I:I,"Closed")</f>
        <v>5</v>
      </c>
    </row>
    <row r="24" customFormat="false" ht="15" hidden="false" customHeight="false" outlineLevel="0" collapsed="false">
      <c r="A24" s="21" t="s">
        <v>42</v>
      </c>
      <c r="B24" s="22" t="n">
        <f aca="false">COUNTIF(Tickets!I:I,A24)</f>
        <v>3</v>
      </c>
      <c r="E24" s="21" t="s">
        <v>43</v>
      </c>
      <c r="F24" s="22" t="n">
        <f aca="false">COUNTIF(Tickets!G:G,E24)</f>
        <v>7</v>
      </c>
      <c r="G24" s="22" t="n">
        <f aca="false">COUNTIFS(Tickets!G:G,E24,Tickets!Q:Q,"Yes")</f>
        <v>4</v>
      </c>
      <c r="I24" s="21" t="s">
        <v>44</v>
      </c>
      <c r="J24" s="22" t="n">
        <f aca="false">COUNTIFS(Tickets!K:K,I24,Tickets!I:I,"Open")</f>
        <v>1</v>
      </c>
      <c r="K24" s="22" t="n">
        <f aca="false">COUNTIFS(Tickets!K:K,I24,Tickets!I:I,"Resolved")+COUNTIFS(Tickets!K:K,I24,Tickets!I:I,"Closed")</f>
        <v>10</v>
      </c>
    </row>
    <row r="25" customFormat="false" ht="15" hidden="false" customHeight="false" outlineLevel="0" collapsed="false">
      <c r="A25" s="21" t="s">
        <v>45</v>
      </c>
      <c r="B25" s="22" t="n">
        <f aca="false">COUNTIF(Tickets!I:I,A25)</f>
        <v>2</v>
      </c>
      <c r="E25" s="21" t="s">
        <v>46</v>
      </c>
      <c r="F25" s="22" t="n">
        <f aca="false">COUNTIF(Tickets!G:G,E25)</f>
        <v>7</v>
      </c>
      <c r="G25" s="22" t="n">
        <f aca="false">COUNTIFS(Tickets!G:G,E25,Tickets!Q:Q,"Yes")</f>
        <v>3</v>
      </c>
    </row>
    <row r="26" customFormat="false" ht="15" hidden="false" customHeight="false" outlineLevel="0" collapsed="false">
      <c r="E26" s="21" t="s">
        <v>47</v>
      </c>
      <c r="F26" s="22" t="n">
        <f aca="false">COUNTIF(Tickets!G:G,E26)</f>
        <v>4</v>
      </c>
      <c r="G26" s="22" t="n">
        <f aca="false">COUNTIFS(Tickets!G:G,E26,Tickets!Q:Q,"Yes")</f>
        <v>1</v>
      </c>
    </row>
    <row r="27" customFormat="false" ht="15" hidden="false" customHeight="false" outlineLevel="0" collapsed="false">
      <c r="E27" s="21" t="s">
        <v>48</v>
      </c>
      <c r="F27" s="22" t="n">
        <f aca="false">COUNTIF(Tickets!G:G,E27)</f>
        <v>6</v>
      </c>
      <c r="G27" s="22" t="n">
        <f aca="false">COUNTIFS(Tickets!G:G,E27,Tickets!Q:Q,"Yes")</f>
        <v>4</v>
      </c>
    </row>
  </sheetData>
  <mergeCells count="35">
    <mergeCell ref="A1:R1"/>
    <mergeCell ref="A2:R2"/>
    <mergeCell ref="A4:C5"/>
    <mergeCell ref="E4:G5"/>
    <mergeCell ref="I4:K5"/>
    <mergeCell ref="M4:O5"/>
    <mergeCell ref="Q4:R5"/>
    <mergeCell ref="A6:C8"/>
    <mergeCell ref="E6:G8"/>
    <mergeCell ref="I6:K8"/>
    <mergeCell ref="M6:O8"/>
    <mergeCell ref="Q6:R8"/>
    <mergeCell ref="A9:C9"/>
    <mergeCell ref="E9:G9"/>
    <mergeCell ref="I9:K9"/>
    <mergeCell ref="M9:O9"/>
    <mergeCell ref="Q9:R9"/>
    <mergeCell ref="A11:C12"/>
    <mergeCell ref="E11:G12"/>
    <mergeCell ref="I11:K12"/>
    <mergeCell ref="M11:O12"/>
    <mergeCell ref="Q11:R12"/>
    <mergeCell ref="A13:C15"/>
    <mergeCell ref="E13:G15"/>
    <mergeCell ref="I13:K15"/>
    <mergeCell ref="M13:O15"/>
    <mergeCell ref="Q13:R15"/>
    <mergeCell ref="A16:C16"/>
    <mergeCell ref="E16:G16"/>
    <mergeCell ref="I16:K16"/>
    <mergeCell ref="M16:O16"/>
    <mergeCell ref="Q16:R16"/>
    <mergeCell ref="A18:C18"/>
    <mergeCell ref="E18:H18"/>
    <mergeCell ref="I18:L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C1"/>
    <pageSetUpPr fitToPage="true"/>
  </sheetPr>
  <dimension ref="A1:T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14"/>
    <col collapsed="false" customWidth="true" hidden="false" outlineLevel="0" max="13" min="13" style="0" width="22"/>
    <col collapsed="false" customWidth="true" hidden="false" outlineLevel="0" max="14" min="14" style="0" width="16"/>
    <col collapsed="false" customWidth="true" hidden="false" outlineLevel="0" max="15" min="15" style="0" width="18"/>
    <col collapsed="false" customWidth="true" hidden="false" outlineLevel="0" max="16" min="16" style="0" width="20"/>
    <col collapsed="false" customWidth="true" hidden="false" outlineLevel="0" max="18" min="17" style="0" width="14"/>
    <col collapsed="false" customWidth="true" hidden="false" outlineLevel="0" max="19" min="19" style="0" width="16"/>
    <col collapsed="false" customWidth="true" hidden="false" outlineLevel="0" max="20" min="20" style="0" width="24"/>
  </cols>
  <sheetData>
    <row r="1" customFormat="false" ht="43.5" hidden="false" customHeight="true" outlineLevel="0" collapsed="false">
      <c r="A1" s="23" t="s">
        <v>49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2" customFormat="false" ht="19.5" hidden="false" customHeight="true" outlineLevel="0" collapsed="false">
      <c r="A2" s="2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30" hidden="false" customHeight="true" outlineLevel="0" collapsed="false">
      <c r="A3" s="24" t="s">
        <v>51</v>
      </c>
      <c r="B3" s="24" t="s">
        <v>52</v>
      </c>
      <c r="C3" s="24" t="s">
        <v>53</v>
      </c>
      <c r="D3" s="24" t="s">
        <v>54</v>
      </c>
      <c r="E3" s="24" t="s">
        <v>55</v>
      </c>
      <c r="F3" s="24" t="s">
        <v>56</v>
      </c>
      <c r="G3" s="24" t="s">
        <v>26</v>
      </c>
      <c r="H3" s="24" t="s">
        <v>57</v>
      </c>
      <c r="I3" s="24" t="s">
        <v>24</v>
      </c>
      <c r="J3" s="24" t="s">
        <v>58</v>
      </c>
      <c r="K3" s="24" t="s">
        <v>59</v>
      </c>
      <c r="L3" s="24" t="s">
        <v>60</v>
      </c>
      <c r="M3" s="24" t="s">
        <v>61</v>
      </c>
      <c r="N3" s="24" t="s">
        <v>62</v>
      </c>
      <c r="O3" s="24" t="s">
        <v>63</v>
      </c>
      <c r="P3" s="24" t="s">
        <v>64</v>
      </c>
      <c r="Q3" s="24" t="s">
        <v>65</v>
      </c>
      <c r="R3" s="24" t="s">
        <v>66</v>
      </c>
      <c r="S3" s="24" t="s">
        <v>67</v>
      </c>
      <c r="T3" s="24" t="s">
        <v>68</v>
      </c>
    </row>
    <row r="4" customFormat="false" ht="15" hidden="false" customHeight="false" outlineLevel="0" collapsed="false">
      <c r="A4" s="25" t="s">
        <v>69</v>
      </c>
      <c r="B4" s="26" t="n">
        <v>45652</v>
      </c>
      <c r="C4" s="26" t="n">
        <v>45652</v>
      </c>
      <c r="D4" s="25"/>
      <c r="E4" s="25"/>
      <c r="F4" s="27" t="s">
        <v>70</v>
      </c>
      <c r="G4" s="25" t="s">
        <v>48</v>
      </c>
      <c r="H4" s="25" t="s">
        <v>71</v>
      </c>
      <c r="I4" s="28" t="s">
        <v>45</v>
      </c>
      <c r="J4" s="25" t="s">
        <v>72</v>
      </c>
      <c r="K4" s="25" t="s">
        <v>44</v>
      </c>
      <c r="L4" s="25" t="s">
        <v>73</v>
      </c>
      <c r="M4" s="25" t="s">
        <v>74</v>
      </c>
      <c r="N4" s="25" t="n">
        <v>24</v>
      </c>
      <c r="O4" s="29" t="n">
        <v>20.72</v>
      </c>
      <c r="P4" s="29"/>
      <c r="Q4" s="30" t="s">
        <v>75</v>
      </c>
      <c r="R4" s="25" t="n">
        <v>0</v>
      </c>
      <c r="S4" s="25"/>
      <c r="T4" s="25"/>
    </row>
    <row r="5" customFormat="false" ht="15" hidden="false" customHeight="false" outlineLevel="0" collapsed="false">
      <c r="A5" s="31" t="s">
        <v>76</v>
      </c>
      <c r="B5" s="32" t="n">
        <v>45729</v>
      </c>
      <c r="C5" s="32" t="n">
        <v>45729</v>
      </c>
      <c r="D5" s="31"/>
      <c r="E5" s="31"/>
      <c r="F5" s="27" t="s">
        <v>70</v>
      </c>
      <c r="G5" s="31" t="s">
        <v>35</v>
      </c>
      <c r="H5" s="31" t="s">
        <v>77</v>
      </c>
      <c r="I5" s="33" t="s">
        <v>30</v>
      </c>
      <c r="J5" s="31" t="s">
        <v>78</v>
      </c>
      <c r="K5" s="31" t="s">
        <v>41</v>
      </c>
      <c r="L5" s="31" t="s">
        <v>79</v>
      </c>
      <c r="M5" s="31" t="s">
        <v>80</v>
      </c>
      <c r="N5" s="31" t="n">
        <v>24</v>
      </c>
      <c r="O5" s="34" t="n">
        <v>1.49</v>
      </c>
      <c r="P5" s="34"/>
      <c r="Q5" s="30" t="s">
        <v>75</v>
      </c>
      <c r="R5" s="31" t="n">
        <v>0</v>
      </c>
      <c r="S5" s="31"/>
      <c r="T5" s="31"/>
    </row>
    <row r="6" customFormat="false" ht="15" hidden="false" customHeight="false" outlineLevel="0" collapsed="false">
      <c r="A6" s="25" t="s">
        <v>81</v>
      </c>
      <c r="B6" s="26" t="n">
        <v>45710</v>
      </c>
      <c r="C6" s="26" t="n">
        <v>45710</v>
      </c>
      <c r="D6" s="26" t="n">
        <v>45710</v>
      </c>
      <c r="E6" s="25"/>
      <c r="F6" s="27" t="s">
        <v>70</v>
      </c>
      <c r="G6" s="25" t="s">
        <v>40</v>
      </c>
      <c r="H6" s="25" t="s">
        <v>82</v>
      </c>
      <c r="I6" s="35" t="s">
        <v>31</v>
      </c>
      <c r="J6" s="25" t="s">
        <v>83</v>
      </c>
      <c r="K6" s="25" t="s">
        <v>36</v>
      </c>
      <c r="L6" s="25" t="s">
        <v>84</v>
      </c>
      <c r="M6" s="25" t="s">
        <v>85</v>
      </c>
      <c r="N6" s="25" t="n">
        <v>24</v>
      </c>
      <c r="O6" s="29" t="n">
        <v>18.95</v>
      </c>
      <c r="P6" s="29" t="n">
        <v>21.39</v>
      </c>
      <c r="Q6" s="30" t="s">
        <v>75</v>
      </c>
      <c r="R6" s="25" t="n">
        <v>0</v>
      </c>
      <c r="S6" s="25" t="n">
        <v>3</v>
      </c>
      <c r="T6" s="25"/>
    </row>
    <row r="7" customFormat="false" ht="15" hidden="false" customHeight="false" outlineLevel="0" collapsed="false">
      <c r="A7" s="31" t="s">
        <v>86</v>
      </c>
      <c r="B7" s="32" t="n">
        <v>45703</v>
      </c>
      <c r="C7" s="32" t="n">
        <v>45703</v>
      </c>
      <c r="D7" s="31"/>
      <c r="E7" s="31"/>
      <c r="F7" s="36" t="s">
        <v>87</v>
      </c>
      <c r="G7" s="31" t="s">
        <v>32</v>
      </c>
      <c r="H7" s="31" t="s">
        <v>88</v>
      </c>
      <c r="I7" s="28" t="s">
        <v>45</v>
      </c>
      <c r="J7" s="31" t="s">
        <v>83</v>
      </c>
      <c r="K7" s="31" t="s">
        <v>36</v>
      </c>
      <c r="L7" s="31" t="s">
        <v>89</v>
      </c>
      <c r="M7" s="31" t="s">
        <v>90</v>
      </c>
      <c r="N7" s="31" t="n">
        <v>8</v>
      </c>
      <c r="O7" s="34" t="n">
        <v>5.8</v>
      </c>
      <c r="P7" s="34"/>
      <c r="Q7" s="30" t="s">
        <v>75</v>
      </c>
      <c r="R7" s="31" t="n">
        <v>0</v>
      </c>
      <c r="S7" s="31"/>
      <c r="T7" s="31"/>
    </row>
    <row r="8" customFormat="false" ht="15" hidden="false" customHeight="false" outlineLevel="0" collapsed="false">
      <c r="A8" s="25" t="s">
        <v>91</v>
      </c>
      <c r="B8" s="26" t="n">
        <v>45661</v>
      </c>
      <c r="C8" s="26" t="n">
        <v>45663</v>
      </c>
      <c r="D8" s="26" t="n">
        <v>45667</v>
      </c>
      <c r="E8" s="26" t="n">
        <v>45667</v>
      </c>
      <c r="F8" s="37" t="s">
        <v>92</v>
      </c>
      <c r="G8" s="25" t="s">
        <v>37</v>
      </c>
      <c r="H8" s="25" t="s">
        <v>93</v>
      </c>
      <c r="I8" s="25" t="s">
        <v>39</v>
      </c>
      <c r="J8" s="25" t="s">
        <v>72</v>
      </c>
      <c r="K8" s="25" t="s">
        <v>44</v>
      </c>
      <c r="L8" s="25" t="s">
        <v>94</v>
      </c>
      <c r="M8" s="25" t="s">
        <v>95</v>
      </c>
      <c r="N8" s="25" t="n">
        <v>72</v>
      </c>
      <c r="O8" s="29" t="n">
        <v>49.57</v>
      </c>
      <c r="P8" s="29" t="n">
        <v>149.29</v>
      </c>
      <c r="Q8" s="30" t="s">
        <v>75</v>
      </c>
      <c r="R8" s="25" t="n">
        <v>0</v>
      </c>
      <c r="S8" s="25" t="n">
        <v>5</v>
      </c>
      <c r="T8" s="25"/>
    </row>
    <row r="9" customFormat="false" ht="15" hidden="false" customHeight="false" outlineLevel="0" collapsed="false">
      <c r="A9" s="31" t="s">
        <v>96</v>
      </c>
      <c r="B9" s="32" t="n">
        <v>45731</v>
      </c>
      <c r="C9" s="32" t="n">
        <v>45733</v>
      </c>
      <c r="D9" s="32" t="n">
        <v>45734</v>
      </c>
      <c r="E9" s="31"/>
      <c r="F9" s="37" t="s">
        <v>92</v>
      </c>
      <c r="G9" s="31" t="s">
        <v>46</v>
      </c>
      <c r="H9" s="31" t="s">
        <v>97</v>
      </c>
      <c r="I9" s="35" t="s">
        <v>31</v>
      </c>
      <c r="J9" s="31" t="s">
        <v>83</v>
      </c>
      <c r="K9" s="31" t="s">
        <v>36</v>
      </c>
      <c r="L9" s="31" t="s">
        <v>89</v>
      </c>
      <c r="M9" s="31" t="s">
        <v>98</v>
      </c>
      <c r="N9" s="31" t="n">
        <v>72</v>
      </c>
      <c r="O9" s="34" t="n">
        <v>64.96</v>
      </c>
      <c r="P9" s="34" t="n">
        <v>88.97</v>
      </c>
      <c r="Q9" s="30" t="s">
        <v>75</v>
      </c>
      <c r="R9" s="31" t="n">
        <v>0</v>
      </c>
      <c r="S9" s="31" t="n">
        <v>4</v>
      </c>
      <c r="T9" s="31"/>
    </row>
    <row r="10" customFormat="false" ht="15" hidden="false" customHeight="false" outlineLevel="0" collapsed="false">
      <c r="A10" s="25" t="s">
        <v>99</v>
      </c>
      <c r="B10" s="26" t="n">
        <v>45725</v>
      </c>
      <c r="C10" s="26" t="n">
        <v>45725</v>
      </c>
      <c r="D10" s="26" t="n">
        <v>45725</v>
      </c>
      <c r="E10" s="25"/>
      <c r="F10" s="36" t="s">
        <v>87</v>
      </c>
      <c r="G10" s="25" t="s">
        <v>37</v>
      </c>
      <c r="H10" s="25" t="s">
        <v>93</v>
      </c>
      <c r="I10" s="35" t="s">
        <v>31</v>
      </c>
      <c r="J10" s="25" t="s">
        <v>72</v>
      </c>
      <c r="K10" s="25" t="s">
        <v>44</v>
      </c>
      <c r="L10" s="25" t="s">
        <v>100</v>
      </c>
      <c r="M10" s="25" t="s">
        <v>101</v>
      </c>
      <c r="N10" s="25" t="n">
        <v>8</v>
      </c>
      <c r="O10" s="29" t="n">
        <v>2.21</v>
      </c>
      <c r="P10" s="29" t="n">
        <v>8.48</v>
      </c>
      <c r="Q10" s="30" t="s">
        <v>75</v>
      </c>
      <c r="R10" s="25" t="n">
        <v>0</v>
      </c>
      <c r="S10" s="25" t="n">
        <v>5</v>
      </c>
      <c r="T10" s="25"/>
    </row>
    <row r="11" customFormat="false" ht="15" hidden="false" customHeight="false" outlineLevel="0" collapsed="false">
      <c r="A11" s="31" t="s">
        <v>102</v>
      </c>
      <c r="B11" s="32" t="n">
        <v>45659</v>
      </c>
      <c r="C11" s="32" t="n">
        <v>45659</v>
      </c>
      <c r="D11" s="31"/>
      <c r="E11" s="31"/>
      <c r="F11" s="27" t="s">
        <v>70</v>
      </c>
      <c r="G11" s="31" t="s">
        <v>37</v>
      </c>
      <c r="H11" s="31" t="s">
        <v>103</v>
      </c>
      <c r="I11" s="38" t="s">
        <v>34</v>
      </c>
      <c r="J11" s="31" t="s">
        <v>78</v>
      </c>
      <c r="K11" s="31" t="s">
        <v>41</v>
      </c>
      <c r="L11" s="31" t="s">
        <v>89</v>
      </c>
      <c r="M11" s="31" t="s">
        <v>95</v>
      </c>
      <c r="N11" s="31" t="n">
        <v>24</v>
      </c>
      <c r="O11" s="34" t="n">
        <v>21.37</v>
      </c>
      <c r="P11" s="34"/>
      <c r="Q11" s="30" t="s">
        <v>75</v>
      </c>
      <c r="R11" s="31" t="n">
        <v>0</v>
      </c>
      <c r="S11" s="31"/>
      <c r="T11" s="31"/>
    </row>
    <row r="12" customFormat="false" ht="15" hidden="false" customHeight="false" outlineLevel="0" collapsed="false">
      <c r="A12" s="25" t="s">
        <v>104</v>
      </c>
      <c r="B12" s="26" t="n">
        <v>45647</v>
      </c>
      <c r="C12" s="26" t="n">
        <v>45647</v>
      </c>
      <c r="D12" s="25"/>
      <c r="E12" s="25"/>
      <c r="F12" s="27" t="s">
        <v>70</v>
      </c>
      <c r="G12" s="25" t="s">
        <v>32</v>
      </c>
      <c r="H12" s="25" t="s">
        <v>105</v>
      </c>
      <c r="I12" s="33" t="s">
        <v>30</v>
      </c>
      <c r="J12" s="25" t="s">
        <v>83</v>
      </c>
      <c r="K12" s="25" t="s">
        <v>36</v>
      </c>
      <c r="L12" s="25" t="s">
        <v>106</v>
      </c>
      <c r="M12" s="25" t="s">
        <v>98</v>
      </c>
      <c r="N12" s="25" t="n">
        <v>24</v>
      </c>
      <c r="O12" s="29" t="n">
        <v>16.24</v>
      </c>
      <c r="P12" s="29"/>
      <c r="Q12" s="30" t="s">
        <v>75</v>
      </c>
      <c r="R12" s="25" t="n">
        <v>0</v>
      </c>
      <c r="S12" s="25"/>
      <c r="T12" s="25"/>
    </row>
    <row r="13" customFormat="false" ht="15" hidden="false" customHeight="false" outlineLevel="0" collapsed="false">
      <c r="A13" s="31" t="s">
        <v>107</v>
      </c>
      <c r="B13" s="32" t="n">
        <v>45701</v>
      </c>
      <c r="C13" s="32" t="n">
        <v>45702</v>
      </c>
      <c r="D13" s="31"/>
      <c r="E13" s="31"/>
      <c r="F13" s="27" t="s">
        <v>70</v>
      </c>
      <c r="G13" s="31" t="s">
        <v>32</v>
      </c>
      <c r="H13" s="31" t="s">
        <v>88</v>
      </c>
      <c r="I13" s="39" t="s">
        <v>42</v>
      </c>
      <c r="J13" s="31" t="s">
        <v>72</v>
      </c>
      <c r="K13" s="31" t="s">
        <v>44</v>
      </c>
      <c r="L13" s="31" t="s">
        <v>84</v>
      </c>
      <c r="M13" s="31" t="s">
        <v>98</v>
      </c>
      <c r="N13" s="31" t="n">
        <v>24</v>
      </c>
      <c r="O13" s="34" t="n">
        <v>34.19</v>
      </c>
      <c r="P13" s="34"/>
      <c r="Q13" s="40" t="s">
        <v>108</v>
      </c>
      <c r="R13" s="31" t="n">
        <v>1</v>
      </c>
      <c r="S13" s="31"/>
      <c r="T13" s="31"/>
    </row>
    <row r="14" customFormat="false" ht="23.85" hidden="false" customHeight="false" outlineLevel="0" collapsed="false">
      <c r="A14" s="25" t="s">
        <v>109</v>
      </c>
      <c r="B14" s="26" t="n">
        <v>45694</v>
      </c>
      <c r="C14" s="26" t="n">
        <v>45694</v>
      </c>
      <c r="D14" s="26" t="n">
        <v>45694</v>
      </c>
      <c r="E14" s="25"/>
      <c r="F14" s="36" t="s">
        <v>87</v>
      </c>
      <c r="G14" s="25" t="s">
        <v>43</v>
      </c>
      <c r="H14" s="25" t="s">
        <v>110</v>
      </c>
      <c r="I14" s="35" t="s">
        <v>31</v>
      </c>
      <c r="J14" s="25" t="s">
        <v>111</v>
      </c>
      <c r="K14" s="25" t="s">
        <v>38</v>
      </c>
      <c r="L14" s="25" t="s">
        <v>89</v>
      </c>
      <c r="M14" s="25" t="s">
        <v>112</v>
      </c>
      <c r="N14" s="25" t="n">
        <v>8</v>
      </c>
      <c r="O14" s="29" t="n">
        <v>10.63</v>
      </c>
      <c r="P14" s="29" t="n">
        <v>20.7</v>
      </c>
      <c r="Q14" s="40" t="s">
        <v>108</v>
      </c>
      <c r="R14" s="25" t="n">
        <v>0</v>
      </c>
      <c r="S14" s="25" t="n">
        <v>3</v>
      </c>
      <c r="T14" s="25"/>
    </row>
    <row r="15" customFormat="false" ht="15" hidden="false" customHeight="false" outlineLevel="0" collapsed="false">
      <c r="A15" s="31" t="s">
        <v>113</v>
      </c>
      <c r="B15" s="32" t="n">
        <v>45669</v>
      </c>
      <c r="C15" s="32" t="n">
        <v>45669</v>
      </c>
      <c r="D15" s="32" t="n">
        <v>45669</v>
      </c>
      <c r="E15" s="32" t="n">
        <v>45670</v>
      </c>
      <c r="F15" s="41" t="s">
        <v>114</v>
      </c>
      <c r="G15" s="31" t="s">
        <v>37</v>
      </c>
      <c r="H15" s="31" t="s">
        <v>115</v>
      </c>
      <c r="I15" s="25" t="s">
        <v>39</v>
      </c>
      <c r="J15" s="31" t="s">
        <v>78</v>
      </c>
      <c r="K15" s="31" t="s">
        <v>41</v>
      </c>
      <c r="L15" s="31" t="s">
        <v>89</v>
      </c>
      <c r="M15" s="31" t="s">
        <v>116</v>
      </c>
      <c r="N15" s="31" t="n">
        <v>4</v>
      </c>
      <c r="O15" s="34" t="n">
        <v>5.29</v>
      </c>
      <c r="P15" s="34" t="n">
        <v>10.87</v>
      </c>
      <c r="Q15" s="40" t="s">
        <v>108</v>
      </c>
      <c r="R15" s="31" t="n">
        <v>0</v>
      </c>
      <c r="S15" s="31" t="n">
        <v>4</v>
      </c>
      <c r="T15" s="31"/>
    </row>
    <row r="16" customFormat="false" ht="15" hidden="false" customHeight="false" outlineLevel="0" collapsed="false">
      <c r="A16" s="25" t="s">
        <v>117</v>
      </c>
      <c r="B16" s="26" t="n">
        <v>45668</v>
      </c>
      <c r="C16" s="26" t="n">
        <v>45668</v>
      </c>
      <c r="D16" s="25"/>
      <c r="E16" s="25"/>
      <c r="F16" s="27" t="s">
        <v>70</v>
      </c>
      <c r="G16" s="25" t="s">
        <v>46</v>
      </c>
      <c r="H16" s="25" t="s">
        <v>118</v>
      </c>
      <c r="I16" s="38" t="s">
        <v>34</v>
      </c>
      <c r="J16" s="25" t="s">
        <v>72</v>
      </c>
      <c r="K16" s="25" t="s">
        <v>44</v>
      </c>
      <c r="L16" s="25" t="s">
        <v>94</v>
      </c>
      <c r="M16" s="25" t="s">
        <v>74</v>
      </c>
      <c r="N16" s="25" t="n">
        <v>24</v>
      </c>
      <c r="O16" s="29" t="n">
        <v>2.87</v>
      </c>
      <c r="P16" s="29"/>
      <c r="Q16" s="30" t="s">
        <v>75</v>
      </c>
      <c r="R16" s="25" t="n">
        <v>1</v>
      </c>
      <c r="S16" s="25"/>
      <c r="T16" s="25"/>
    </row>
    <row r="17" customFormat="false" ht="15" hidden="false" customHeight="false" outlineLevel="0" collapsed="false">
      <c r="A17" s="31" t="s">
        <v>119</v>
      </c>
      <c r="B17" s="32" t="n">
        <v>45670</v>
      </c>
      <c r="C17" s="32" t="n">
        <v>45670</v>
      </c>
      <c r="D17" s="31"/>
      <c r="E17" s="31"/>
      <c r="F17" s="36" t="s">
        <v>87</v>
      </c>
      <c r="G17" s="31" t="s">
        <v>48</v>
      </c>
      <c r="H17" s="31" t="s">
        <v>120</v>
      </c>
      <c r="I17" s="38" t="s">
        <v>34</v>
      </c>
      <c r="J17" s="31" t="s">
        <v>78</v>
      </c>
      <c r="K17" s="31" t="s">
        <v>41</v>
      </c>
      <c r="L17" s="31" t="s">
        <v>84</v>
      </c>
      <c r="M17" s="31" t="s">
        <v>74</v>
      </c>
      <c r="N17" s="31" t="n">
        <v>8</v>
      </c>
      <c r="O17" s="34" t="n">
        <v>9.46</v>
      </c>
      <c r="P17" s="34"/>
      <c r="Q17" s="40" t="s">
        <v>108</v>
      </c>
      <c r="R17" s="31" t="n">
        <v>2</v>
      </c>
      <c r="S17" s="31"/>
      <c r="T17" s="31"/>
    </row>
    <row r="18" customFormat="false" ht="15" hidden="false" customHeight="false" outlineLevel="0" collapsed="false">
      <c r="A18" s="25" t="s">
        <v>121</v>
      </c>
      <c r="B18" s="26" t="n">
        <v>45657</v>
      </c>
      <c r="C18" s="26" t="n">
        <v>45659</v>
      </c>
      <c r="D18" s="26" t="n">
        <v>45660</v>
      </c>
      <c r="E18" s="26" t="n">
        <v>45660</v>
      </c>
      <c r="F18" s="37" t="s">
        <v>92</v>
      </c>
      <c r="G18" s="25" t="s">
        <v>37</v>
      </c>
      <c r="H18" s="25" t="s">
        <v>93</v>
      </c>
      <c r="I18" s="25" t="s">
        <v>39</v>
      </c>
      <c r="J18" s="25" t="s">
        <v>122</v>
      </c>
      <c r="K18" s="25" t="s">
        <v>33</v>
      </c>
      <c r="L18" s="25" t="s">
        <v>89</v>
      </c>
      <c r="M18" s="25" t="s">
        <v>98</v>
      </c>
      <c r="N18" s="25" t="n">
        <v>72</v>
      </c>
      <c r="O18" s="29" t="n">
        <v>53.75</v>
      </c>
      <c r="P18" s="29" t="n">
        <v>80.89</v>
      </c>
      <c r="Q18" s="30" t="s">
        <v>75</v>
      </c>
      <c r="R18" s="25" t="n">
        <v>0</v>
      </c>
      <c r="S18" s="25" t="n">
        <v>3</v>
      </c>
      <c r="T18" s="25"/>
    </row>
    <row r="19" customFormat="false" ht="15" hidden="false" customHeight="false" outlineLevel="0" collapsed="false">
      <c r="A19" s="31" t="s">
        <v>123</v>
      </c>
      <c r="B19" s="32" t="n">
        <v>45656</v>
      </c>
      <c r="C19" s="32" t="n">
        <v>45656</v>
      </c>
      <c r="D19" s="32" t="n">
        <v>45656</v>
      </c>
      <c r="E19" s="32" t="n">
        <v>45656</v>
      </c>
      <c r="F19" s="36" t="s">
        <v>87</v>
      </c>
      <c r="G19" s="31" t="s">
        <v>32</v>
      </c>
      <c r="H19" s="31" t="s">
        <v>88</v>
      </c>
      <c r="I19" s="25" t="s">
        <v>39</v>
      </c>
      <c r="J19" s="31" t="s">
        <v>72</v>
      </c>
      <c r="K19" s="31" t="s">
        <v>44</v>
      </c>
      <c r="L19" s="31" t="s">
        <v>79</v>
      </c>
      <c r="M19" s="31" t="s">
        <v>116</v>
      </c>
      <c r="N19" s="31" t="n">
        <v>8</v>
      </c>
      <c r="O19" s="34" t="n">
        <v>7.35</v>
      </c>
      <c r="P19" s="34" t="n">
        <v>13.4</v>
      </c>
      <c r="Q19" s="30" t="s">
        <v>75</v>
      </c>
      <c r="R19" s="31" t="n">
        <v>0</v>
      </c>
      <c r="S19" s="31" t="n">
        <v>5</v>
      </c>
      <c r="T19" s="31"/>
    </row>
    <row r="20" customFormat="false" ht="15" hidden="false" customHeight="false" outlineLevel="0" collapsed="false">
      <c r="A20" s="25" t="s">
        <v>124</v>
      </c>
      <c r="B20" s="26" t="n">
        <v>45653</v>
      </c>
      <c r="C20" s="26" t="n">
        <v>45653</v>
      </c>
      <c r="D20" s="26" t="n">
        <v>45653</v>
      </c>
      <c r="E20" s="26" t="n">
        <v>45653</v>
      </c>
      <c r="F20" s="36" t="s">
        <v>87</v>
      </c>
      <c r="G20" s="25" t="s">
        <v>32</v>
      </c>
      <c r="H20" s="25" t="s">
        <v>125</v>
      </c>
      <c r="I20" s="25" t="s">
        <v>39</v>
      </c>
      <c r="J20" s="25" t="s">
        <v>72</v>
      </c>
      <c r="K20" s="25" t="s">
        <v>44</v>
      </c>
      <c r="L20" s="25" t="s">
        <v>84</v>
      </c>
      <c r="M20" s="25" t="s">
        <v>126</v>
      </c>
      <c r="N20" s="25" t="n">
        <v>8</v>
      </c>
      <c r="O20" s="29" t="n">
        <v>6.96</v>
      </c>
      <c r="P20" s="29" t="n">
        <v>17.96</v>
      </c>
      <c r="Q20" s="30" t="s">
        <v>75</v>
      </c>
      <c r="R20" s="25" t="n">
        <v>0</v>
      </c>
      <c r="S20" s="25" t="n">
        <v>5</v>
      </c>
      <c r="T20" s="25"/>
    </row>
    <row r="21" customFormat="false" ht="15" hidden="false" customHeight="false" outlineLevel="0" collapsed="false">
      <c r="A21" s="31" t="s">
        <v>127</v>
      </c>
      <c r="B21" s="32" t="n">
        <v>45650</v>
      </c>
      <c r="C21" s="32" t="n">
        <v>45653</v>
      </c>
      <c r="D21" s="31"/>
      <c r="E21" s="31"/>
      <c r="F21" s="37" t="s">
        <v>92</v>
      </c>
      <c r="G21" s="31" t="s">
        <v>32</v>
      </c>
      <c r="H21" s="31" t="s">
        <v>128</v>
      </c>
      <c r="I21" s="33" t="s">
        <v>30</v>
      </c>
      <c r="J21" s="31" t="s">
        <v>122</v>
      </c>
      <c r="K21" s="31" t="s">
        <v>33</v>
      </c>
      <c r="L21" s="31" t="s">
        <v>94</v>
      </c>
      <c r="M21" s="31" t="s">
        <v>95</v>
      </c>
      <c r="N21" s="31" t="n">
        <v>72</v>
      </c>
      <c r="O21" s="34" t="n">
        <v>95.56</v>
      </c>
      <c r="P21" s="34"/>
      <c r="Q21" s="40" t="s">
        <v>108</v>
      </c>
      <c r="R21" s="31" t="n">
        <v>0</v>
      </c>
      <c r="S21" s="31"/>
      <c r="T21" s="31"/>
    </row>
    <row r="22" customFormat="false" ht="15" hidden="false" customHeight="false" outlineLevel="0" collapsed="false">
      <c r="A22" s="25" t="s">
        <v>129</v>
      </c>
      <c r="B22" s="26" t="n">
        <v>45684</v>
      </c>
      <c r="C22" s="26" t="n">
        <v>45687</v>
      </c>
      <c r="D22" s="26" t="n">
        <v>45688</v>
      </c>
      <c r="E22" s="26" t="n">
        <v>45688</v>
      </c>
      <c r="F22" s="37" t="s">
        <v>92</v>
      </c>
      <c r="G22" s="25" t="s">
        <v>47</v>
      </c>
      <c r="H22" s="25" t="s">
        <v>130</v>
      </c>
      <c r="I22" s="25" t="s">
        <v>39</v>
      </c>
      <c r="J22" s="25" t="s">
        <v>78</v>
      </c>
      <c r="K22" s="25" t="s">
        <v>41</v>
      </c>
      <c r="L22" s="25" t="s">
        <v>73</v>
      </c>
      <c r="M22" s="25" t="s">
        <v>90</v>
      </c>
      <c r="N22" s="25" t="n">
        <v>72</v>
      </c>
      <c r="O22" s="29" t="n">
        <v>84.35</v>
      </c>
      <c r="P22" s="29" t="n">
        <v>97.97</v>
      </c>
      <c r="Q22" s="40" t="s">
        <v>108</v>
      </c>
      <c r="R22" s="25" t="n">
        <v>1</v>
      </c>
      <c r="S22" s="25" t="n">
        <v>5</v>
      </c>
      <c r="T22" s="25"/>
    </row>
    <row r="23" customFormat="false" ht="15" hidden="false" customHeight="false" outlineLevel="0" collapsed="false">
      <c r="A23" s="31" t="s">
        <v>131</v>
      </c>
      <c r="B23" s="32" t="n">
        <v>45665</v>
      </c>
      <c r="C23" s="32" t="n">
        <v>45666</v>
      </c>
      <c r="D23" s="32" t="n">
        <v>45667</v>
      </c>
      <c r="E23" s="32" t="n">
        <v>45668</v>
      </c>
      <c r="F23" s="27" t="s">
        <v>70</v>
      </c>
      <c r="G23" s="31" t="s">
        <v>46</v>
      </c>
      <c r="H23" s="31" t="s">
        <v>132</v>
      </c>
      <c r="I23" s="25" t="s">
        <v>39</v>
      </c>
      <c r="J23" s="31" t="s">
        <v>111</v>
      </c>
      <c r="K23" s="31" t="s">
        <v>38</v>
      </c>
      <c r="L23" s="31" t="s">
        <v>79</v>
      </c>
      <c r="M23" s="31" t="s">
        <v>74</v>
      </c>
      <c r="N23" s="31" t="n">
        <v>24</v>
      </c>
      <c r="O23" s="34" t="n">
        <v>33.07</v>
      </c>
      <c r="P23" s="34" t="n">
        <v>58.45</v>
      </c>
      <c r="Q23" s="40" t="s">
        <v>108</v>
      </c>
      <c r="R23" s="31" t="n">
        <v>0</v>
      </c>
      <c r="S23" s="31" t="n">
        <v>5</v>
      </c>
      <c r="T23" s="31"/>
    </row>
    <row r="24" customFormat="false" ht="15" hidden="false" customHeight="false" outlineLevel="0" collapsed="false">
      <c r="A24" s="25" t="s">
        <v>133</v>
      </c>
      <c r="B24" s="26" t="n">
        <v>45695</v>
      </c>
      <c r="C24" s="26" t="n">
        <v>45695</v>
      </c>
      <c r="D24" s="26" t="n">
        <v>45696</v>
      </c>
      <c r="E24" s="26" t="n">
        <v>45696</v>
      </c>
      <c r="F24" s="27" t="s">
        <v>70</v>
      </c>
      <c r="G24" s="25" t="s">
        <v>35</v>
      </c>
      <c r="H24" s="25" t="s">
        <v>134</v>
      </c>
      <c r="I24" s="25" t="s">
        <v>39</v>
      </c>
      <c r="J24" s="25" t="s">
        <v>111</v>
      </c>
      <c r="K24" s="25" t="s">
        <v>38</v>
      </c>
      <c r="L24" s="25" t="s">
        <v>100</v>
      </c>
      <c r="M24" s="25" t="s">
        <v>90</v>
      </c>
      <c r="N24" s="25" t="n">
        <v>24</v>
      </c>
      <c r="O24" s="29" t="n">
        <v>0.54</v>
      </c>
      <c r="P24" s="29" t="n">
        <v>30.88</v>
      </c>
      <c r="Q24" s="30" t="s">
        <v>75</v>
      </c>
      <c r="R24" s="25" t="n">
        <v>0</v>
      </c>
      <c r="S24" s="25" t="n">
        <v>3</v>
      </c>
      <c r="T24" s="25"/>
    </row>
    <row r="25" customFormat="false" ht="23.85" hidden="false" customHeight="false" outlineLevel="0" collapsed="false">
      <c r="A25" s="31" t="s">
        <v>135</v>
      </c>
      <c r="B25" s="32" t="n">
        <v>45734</v>
      </c>
      <c r="C25" s="32" t="n">
        <v>45734</v>
      </c>
      <c r="D25" s="32" t="n">
        <v>45734</v>
      </c>
      <c r="E25" s="32" t="n">
        <v>45734</v>
      </c>
      <c r="F25" s="41" t="s">
        <v>114</v>
      </c>
      <c r="G25" s="31" t="s">
        <v>43</v>
      </c>
      <c r="H25" s="31" t="s">
        <v>136</v>
      </c>
      <c r="I25" s="25" t="s">
        <v>39</v>
      </c>
      <c r="J25" s="31" t="s">
        <v>78</v>
      </c>
      <c r="K25" s="31" t="s">
        <v>41</v>
      </c>
      <c r="L25" s="31" t="s">
        <v>73</v>
      </c>
      <c r="M25" s="31" t="s">
        <v>112</v>
      </c>
      <c r="N25" s="31" t="n">
        <v>4</v>
      </c>
      <c r="O25" s="34" t="n">
        <v>2.55</v>
      </c>
      <c r="P25" s="34" t="n">
        <v>10.49</v>
      </c>
      <c r="Q25" s="30" t="s">
        <v>75</v>
      </c>
      <c r="R25" s="31" t="n">
        <v>0</v>
      </c>
      <c r="S25" s="31" t="n">
        <v>3</v>
      </c>
      <c r="T25" s="31"/>
    </row>
    <row r="26" customFormat="false" ht="15" hidden="false" customHeight="false" outlineLevel="0" collapsed="false">
      <c r="A26" s="25" t="s">
        <v>137</v>
      </c>
      <c r="B26" s="26" t="n">
        <v>45715</v>
      </c>
      <c r="C26" s="26" t="n">
        <v>45719</v>
      </c>
      <c r="D26" s="26" t="n">
        <v>45720</v>
      </c>
      <c r="E26" s="25"/>
      <c r="F26" s="37" t="s">
        <v>92</v>
      </c>
      <c r="G26" s="25" t="s">
        <v>40</v>
      </c>
      <c r="H26" s="25" t="s">
        <v>138</v>
      </c>
      <c r="I26" s="35" t="s">
        <v>31</v>
      </c>
      <c r="J26" s="25" t="s">
        <v>122</v>
      </c>
      <c r="K26" s="25" t="s">
        <v>33</v>
      </c>
      <c r="L26" s="25" t="s">
        <v>94</v>
      </c>
      <c r="M26" s="25" t="s">
        <v>85</v>
      </c>
      <c r="N26" s="25" t="n">
        <v>72</v>
      </c>
      <c r="O26" s="29" t="n">
        <v>105.04</v>
      </c>
      <c r="P26" s="29" t="n">
        <v>134.84</v>
      </c>
      <c r="Q26" s="40" t="s">
        <v>108</v>
      </c>
      <c r="R26" s="25" t="n">
        <v>0</v>
      </c>
      <c r="S26" s="25" t="n">
        <v>3</v>
      </c>
      <c r="T26" s="25"/>
    </row>
    <row r="27" customFormat="false" ht="15" hidden="false" customHeight="false" outlineLevel="0" collapsed="false">
      <c r="A27" s="31" t="s">
        <v>139</v>
      </c>
      <c r="B27" s="32" t="n">
        <v>45699</v>
      </c>
      <c r="C27" s="32" t="n">
        <v>45700</v>
      </c>
      <c r="D27" s="31"/>
      <c r="E27" s="31"/>
      <c r="F27" s="27" t="s">
        <v>70</v>
      </c>
      <c r="G27" s="31" t="s">
        <v>37</v>
      </c>
      <c r="H27" s="31" t="s">
        <v>140</v>
      </c>
      <c r="I27" s="33" t="s">
        <v>30</v>
      </c>
      <c r="J27" s="31" t="s">
        <v>111</v>
      </c>
      <c r="K27" s="31" t="s">
        <v>38</v>
      </c>
      <c r="L27" s="31" t="s">
        <v>100</v>
      </c>
      <c r="M27" s="31" t="s">
        <v>98</v>
      </c>
      <c r="N27" s="31" t="n">
        <v>24</v>
      </c>
      <c r="O27" s="34" t="n">
        <v>29.51</v>
      </c>
      <c r="P27" s="34"/>
      <c r="Q27" s="40" t="s">
        <v>108</v>
      </c>
      <c r="R27" s="31" t="n">
        <v>0</v>
      </c>
      <c r="S27" s="31"/>
      <c r="T27" s="31"/>
    </row>
    <row r="28" customFormat="false" ht="15" hidden="false" customHeight="false" outlineLevel="0" collapsed="false">
      <c r="A28" s="25" t="s">
        <v>141</v>
      </c>
      <c r="B28" s="26" t="n">
        <v>45654</v>
      </c>
      <c r="C28" s="26" t="n">
        <v>45654</v>
      </c>
      <c r="D28" s="26" t="n">
        <v>45654</v>
      </c>
      <c r="E28" s="26" t="n">
        <v>45655</v>
      </c>
      <c r="F28" s="27" t="s">
        <v>70</v>
      </c>
      <c r="G28" s="25" t="s">
        <v>40</v>
      </c>
      <c r="H28" s="25" t="s">
        <v>142</v>
      </c>
      <c r="I28" s="25" t="s">
        <v>39</v>
      </c>
      <c r="J28" s="25" t="s">
        <v>122</v>
      </c>
      <c r="K28" s="25" t="s">
        <v>33</v>
      </c>
      <c r="L28" s="25" t="s">
        <v>79</v>
      </c>
      <c r="M28" s="25" t="s">
        <v>74</v>
      </c>
      <c r="N28" s="25" t="n">
        <v>24</v>
      </c>
      <c r="O28" s="29" t="n">
        <v>10.86</v>
      </c>
      <c r="P28" s="29" t="n">
        <v>12.15</v>
      </c>
      <c r="Q28" s="30" t="s">
        <v>75</v>
      </c>
      <c r="R28" s="25" t="n">
        <v>0</v>
      </c>
      <c r="S28" s="25" t="n">
        <v>3</v>
      </c>
      <c r="T28" s="25"/>
    </row>
    <row r="29" customFormat="false" ht="23.85" hidden="false" customHeight="false" outlineLevel="0" collapsed="false">
      <c r="A29" s="31" t="s">
        <v>143</v>
      </c>
      <c r="B29" s="32" t="n">
        <v>45716</v>
      </c>
      <c r="C29" s="32" t="n">
        <v>45717</v>
      </c>
      <c r="D29" s="31"/>
      <c r="E29" s="31"/>
      <c r="F29" s="27" t="s">
        <v>70</v>
      </c>
      <c r="G29" s="31" t="s">
        <v>43</v>
      </c>
      <c r="H29" s="31" t="s">
        <v>136</v>
      </c>
      <c r="I29" s="39" t="s">
        <v>42</v>
      </c>
      <c r="J29" s="31" t="s">
        <v>122</v>
      </c>
      <c r="K29" s="31" t="s">
        <v>33</v>
      </c>
      <c r="L29" s="31" t="s">
        <v>144</v>
      </c>
      <c r="M29" s="31" t="s">
        <v>90</v>
      </c>
      <c r="N29" s="31" t="n">
        <v>24</v>
      </c>
      <c r="O29" s="34" t="n">
        <v>25.02</v>
      </c>
      <c r="P29" s="34"/>
      <c r="Q29" s="40" t="s">
        <v>108</v>
      </c>
      <c r="R29" s="31" t="n">
        <v>0</v>
      </c>
      <c r="S29" s="31"/>
      <c r="T29" s="31"/>
    </row>
    <row r="30" customFormat="false" ht="15" hidden="false" customHeight="false" outlineLevel="0" collapsed="false">
      <c r="A30" s="25" t="s">
        <v>145</v>
      </c>
      <c r="B30" s="26" t="n">
        <v>45655</v>
      </c>
      <c r="C30" s="26" t="n">
        <v>45655</v>
      </c>
      <c r="D30" s="26" t="n">
        <v>45655</v>
      </c>
      <c r="E30" s="26" t="n">
        <v>45655</v>
      </c>
      <c r="F30" s="36" t="s">
        <v>87</v>
      </c>
      <c r="G30" s="25" t="s">
        <v>37</v>
      </c>
      <c r="H30" s="25" t="s">
        <v>140</v>
      </c>
      <c r="I30" s="25" t="s">
        <v>39</v>
      </c>
      <c r="J30" s="25" t="s">
        <v>72</v>
      </c>
      <c r="K30" s="25" t="s">
        <v>44</v>
      </c>
      <c r="L30" s="25" t="s">
        <v>73</v>
      </c>
      <c r="M30" s="25" t="s">
        <v>98</v>
      </c>
      <c r="N30" s="25" t="n">
        <v>8</v>
      </c>
      <c r="O30" s="29" t="n">
        <v>11.73</v>
      </c>
      <c r="P30" s="29" t="n">
        <v>15.04</v>
      </c>
      <c r="Q30" s="40" t="s">
        <v>108</v>
      </c>
      <c r="R30" s="25" t="n">
        <v>0</v>
      </c>
      <c r="S30" s="25" t="n">
        <v>3</v>
      </c>
      <c r="T30" s="25"/>
    </row>
    <row r="31" customFormat="false" ht="15" hidden="false" customHeight="false" outlineLevel="0" collapsed="false">
      <c r="A31" s="31" t="s">
        <v>146</v>
      </c>
      <c r="B31" s="32" t="n">
        <v>45718</v>
      </c>
      <c r="C31" s="32" t="n">
        <v>45719</v>
      </c>
      <c r="D31" s="31"/>
      <c r="E31" s="31"/>
      <c r="F31" s="27" t="s">
        <v>70</v>
      </c>
      <c r="G31" s="31" t="s">
        <v>46</v>
      </c>
      <c r="H31" s="31" t="s">
        <v>97</v>
      </c>
      <c r="I31" s="38" t="s">
        <v>34</v>
      </c>
      <c r="J31" s="31" t="s">
        <v>78</v>
      </c>
      <c r="K31" s="31" t="s">
        <v>41</v>
      </c>
      <c r="L31" s="31" t="s">
        <v>94</v>
      </c>
      <c r="M31" s="31" t="s">
        <v>98</v>
      </c>
      <c r="N31" s="31" t="n">
        <v>24</v>
      </c>
      <c r="O31" s="34" t="n">
        <v>31.52</v>
      </c>
      <c r="P31" s="34"/>
      <c r="Q31" s="40" t="s">
        <v>108</v>
      </c>
      <c r="R31" s="31" t="n">
        <v>0</v>
      </c>
      <c r="S31" s="31"/>
      <c r="T31" s="31"/>
    </row>
    <row r="32" customFormat="false" ht="15" hidden="false" customHeight="false" outlineLevel="0" collapsed="false">
      <c r="A32" s="25" t="s">
        <v>147</v>
      </c>
      <c r="B32" s="26" t="n">
        <v>45666</v>
      </c>
      <c r="C32" s="26" t="n">
        <v>45666</v>
      </c>
      <c r="D32" s="26" t="n">
        <v>45666</v>
      </c>
      <c r="E32" s="25"/>
      <c r="F32" s="36" t="s">
        <v>87</v>
      </c>
      <c r="G32" s="25" t="s">
        <v>40</v>
      </c>
      <c r="H32" s="25" t="s">
        <v>138</v>
      </c>
      <c r="I32" s="35" t="s">
        <v>31</v>
      </c>
      <c r="J32" s="25" t="s">
        <v>111</v>
      </c>
      <c r="K32" s="25" t="s">
        <v>38</v>
      </c>
      <c r="L32" s="25" t="s">
        <v>144</v>
      </c>
      <c r="M32" s="25" t="s">
        <v>101</v>
      </c>
      <c r="N32" s="25" t="n">
        <v>8</v>
      </c>
      <c r="O32" s="29" t="n">
        <v>4.73</v>
      </c>
      <c r="P32" s="29" t="n">
        <v>6.23</v>
      </c>
      <c r="Q32" s="30" t="s">
        <v>75</v>
      </c>
      <c r="R32" s="25" t="n">
        <v>0</v>
      </c>
      <c r="S32" s="25" t="n">
        <v>3</v>
      </c>
      <c r="T32" s="25"/>
    </row>
    <row r="33" customFormat="false" ht="15" hidden="false" customHeight="false" outlineLevel="0" collapsed="false">
      <c r="A33" s="31" t="s">
        <v>148</v>
      </c>
      <c r="B33" s="32" t="n">
        <v>45653</v>
      </c>
      <c r="C33" s="32" t="n">
        <v>45655</v>
      </c>
      <c r="D33" s="32" t="n">
        <v>45658</v>
      </c>
      <c r="E33" s="32" t="n">
        <v>45659</v>
      </c>
      <c r="F33" s="37" t="s">
        <v>92</v>
      </c>
      <c r="G33" s="31" t="s">
        <v>40</v>
      </c>
      <c r="H33" s="31" t="s">
        <v>82</v>
      </c>
      <c r="I33" s="25" t="s">
        <v>39</v>
      </c>
      <c r="J33" s="31" t="s">
        <v>111</v>
      </c>
      <c r="K33" s="31" t="s">
        <v>38</v>
      </c>
      <c r="L33" s="31" t="s">
        <v>100</v>
      </c>
      <c r="M33" s="31" t="s">
        <v>85</v>
      </c>
      <c r="N33" s="31" t="n">
        <v>72</v>
      </c>
      <c r="O33" s="34" t="n">
        <v>61.2</v>
      </c>
      <c r="P33" s="34" t="n">
        <v>139.11</v>
      </c>
      <c r="Q33" s="30" t="s">
        <v>75</v>
      </c>
      <c r="R33" s="31" t="n">
        <v>0</v>
      </c>
      <c r="S33" s="31" t="n">
        <v>5</v>
      </c>
      <c r="T33" s="31"/>
    </row>
    <row r="34" customFormat="false" ht="15" hidden="false" customHeight="false" outlineLevel="0" collapsed="false">
      <c r="A34" s="25" t="s">
        <v>149</v>
      </c>
      <c r="B34" s="26" t="n">
        <v>45684</v>
      </c>
      <c r="C34" s="26" t="n">
        <v>45685</v>
      </c>
      <c r="D34" s="25"/>
      <c r="E34" s="25"/>
      <c r="F34" s="27" t="s">
        <v>70</v>
      </c>
      <c r="G34" s="25" t="s">
        <v>46</v>
      </c>
      <c r="H34" s="25" t="s">
        <v>150</v>
      </c>
      <c r="I34" s="38" t="s">
        <v>34</v>
      </c>
      <c r="J34" s="25" t="s">
        <v>83</v>
      </c>
      <c r="K34" s="25" t="s">
        <v>36</v>
      </c>
      <c r="L34" s="25" t="s">
        <v>79</v>
      </c>
      <c r="M34" s="25" t="s">
        <v>74</v>
      </c>
      <c r="N34" s="25" t="n">
        <v>24</v>
      </c>
      <c r="O34" s="29" t="n">
        <v>28.7</v>
      </c>
      <c r="P34" s="29"/>
      <c r="Q34" s="40" t="s">
        <v>108</v>
      </c>
      <c r="R34" s="25" t="n">
        <v>0</v>
      </c>
      <c r="S34" s="25"/>
      <c r="T34" s="25"/>
    </row>
    <row r="35" customFormat="false" ht="15" hidden="false" customHeight="false" outlineLevel="0" collapsed="false">
      <c r="A35" s="31" t="s">
        <v>151</v>
      </c>
      <c r="B35" s="32" t="n">
        <v>45691</v>
      </c>
      <c r="C35" s="32" t="n">
        <v>45692</v>
      </c>
      <c r="D35" s="31"/>
      <c r="E35" s="31"/>
      <c r="F35" s="27" t="s">
        <v>70</v>
      </c>
      <c r="G35" s="31" t="s">
        <v>35</v>
      </c>
      <c r="H35" s="31" t="s">
        <v>152</v>
      </c>
      <c r="I35" s="33" t="s">
        <v>30</v>
      </c>
      <c r="J35" s="31" t="s">
        <v>122</v>
      </c>
      <c r="K35" s="31" t="s">
        <v>33</v>
      </c>
      <c r="L35" s="31" t="s">
        <v>73</v>
      </c>
      <c r="M35" s="31" t="s">
        <v>153</v>
      </c>
      <c r="N35" s="31" t="n">
        <v>24</v>
      </c>
      <c r="O35" s="34" t="n">
        <v>31.38</v>
      </c>
      <c r="P35" s="34"/>
      <c r="Q35" s="40" t="s">
        <v>108</v>
      </c>
      <c r="R35" s="31" t="n">
        <v>0</v>
      </c>
      <c r="S35" s="31"/>
      <c r="T35" s="31"/>
    </row>
    <row r="36" customFormat="false" ht="23.85" hidden="false" customHeight="false" outlineLevel="0" collapsed="false">
      <c r="A36" s="25" t="s">
        <v>154</v>
      </c>
      <c r="B36" s="26" t="n">
        <v>45650</v>
      </c>
      <c r="C36" s="26" t="n">
        <v>45651</v>
      </c>
      <c r="D36" s="26" t="n">
        <v>45651</v>
      </c>
      <c r="E36" s="25"/>
      <c r="F36" s="27" t="s">
        <v>70</v>
      </c>
      <c r="G36" s="25" t="s">
        <v>43</v>
      </c>
      <c r="H36" s="25" t="s">
        <v>136</v>
      </c>
      <c r="I36" s="35" t="s">
        <v>31</v>
      </c>
      <c r="J36" s="25" t="s">
        <v>83</v>
      </c>
      <c r="K36" s="25" t="s">
        <v>36</v>
      </c>
      <c r="L36" s="25" t="s">
        <v>73</v>
      </c>
      <c r="M36" s="25" t="s">
        <v>155</v>
      </c>
      <c r="N36" s="25" t="n">
        <v>24</v>
      </c>
      <c r="O36" s="29" t="n">
        <v>33.4</v>
      </c>
      <c r="P36" s="29" t="n">
        <v>37.74</v>
      </c>
      <c r="Q36" s="40" t="s">
        <v>108</v>
      </c>
      <c r="R36" s="25" t="n">
        <v>0</v>
      </c>
      <c r="S36" s="25" t="n">
        <v>5</v>
      </c>
      <c r="T36" s="25"/>
    </row>
    <row r="37" customFormat="false" ht="15" hidden="false" customHeight="false" outlineLevel="0" collapsed="false">
      <c r="A37" s="31" t="s">
        <v>156</v>
      </c>
      <c r="B37" s="32" t="n">
        <v>45651</v>
      </c>
      <c r="C37" s="32" t="n">
        <v>45651</v>
      </c>
      <c r="D37" s="32" t="n">
        <v>45651</v>
      </c>
      <c r="E37" s="32" t="n">
        <v>45651</v>
      </c>
      <c r="F37" s="41" t="s">
        <v>114</v>
      </c>
      <c r="G37" s="31" t="s">
        <v>37</v>
      </c>
      <c r="H37" s="31" t="s">
        <v>103</v>
      </c>
      <c r="I37" s="25" t="s">
        <v>39</v>
      </c>
      <c r="J37" s="31" t="s">
        <v>72</v>
      </c>
      <c r="K37" s="31" t="s">
        <v>44</v>
      </c>
      <c r="L37" s="31" t="s">
        <v>89</v>
      </c>
      <c r="M37" s="31" t="s">
        <v>85</v>
      </c>
      <c r="N37" s="31" t="n">
        <v>4</v>
      </c>
      <c r="O37" s="34" t="n">
        <v>4.08</v>
      </c>
      <c r="P37" s="34" t="n">
        <v>7.41</v>
      </c>
      <c r="Q37" s="40" t="s">
        <v>108</v>
      </c>
      <c r="R37" s="31" t="n">
        <v>0</v>
      </c>
      <c r="S37" s="31" t="n">
        <v>5</v>
      </c>
      <c r="T37" s="31"/>
    </row>
    <row r="38" customFormat="false" ht="15" hidden="false" customHeight="false" outlineLevel="0" collapsed="false">
      <c r="A38" s="25" t="s">
        <v>157</v>
      </c>
      <c r="B38" s="26" t="n">
        <v>45675</v>
      </c>
      <c r="C38" s="26" t="n">
        <v>45675</v>
      </c>
      <c r="D38" s="26" t="n">
        <v>45675</v>
      </c>
      <c r="E38" s="26" t="n">
        <v>45676</v>
      </c>
      <c r="F38" s="36" t="s">
        <v>87</v>
      </c>
      <c r="G38" s="25" t="s">
        <v>37</v>
      </c>
      <c r="H38" s="25" t="s">
        <v>103</v>
      </c>
      <c r="I38" s="25" t="s">
        <v>39</v>
      </c>
      <c r="J38" s="25" t="s">
        <v>122</v>
      </c>
      <c r="K38" s="25" t="s">
        <v>33</v>
      </c>
      <c r="L38" s="25" t="s">
        <v>100</v>
      </c>
      <c r="M38" s="25" t="s">
        <v>158</v>
      </c>
      <c r="N38" s="25" t="n">
        <v>8</v>
      </c>
      <c r="O38" s="29" t="n">
        <v>9.84</v>
      </c>
      <c r="P38" s="29" t="n">
        <v>13</v>
      </c>
      <c r="Q38" s="40" t="s">
        <v>108</v>
      </c>
      <c r="R38" s="25" t="n">
        <v>0</v>
      </c>
      <c r="S38" s="25" t="n">
        <v>5</v>
      </c>
      <c r="T38" s="25"/>
    </row>
    <row r="39" customFormat="false" ht="15" hidden="false" customHeight="false" outlineLevel="0" collapsed="false">
      <c r="A39" s="31" t="s">
        <v>159</v>
      </c>
      <c r="B39" s="32" t="n">
        <v>45711</v>
      </c>
      <c r="C39" s="32" t="n">
        <v>45711</v>
      </c>
      <c r="D39" s="32" t="n">
        <v>45711</v>
      </c>
      <c r="E39" s="32" t="n">
        <v>45712</v>
      </c>
      <c r="F39" s="27" t="s">
        <v>70</v>
      </c>
      <c r="G39" s="31" t="s">
        <v>47</v>
      </c>
      <c r="H39" s="31" t="s">
        <v>160</v>
      </c>
      <c r="I39" s="25" t="s">
        <v>39</v>
      </c>
      <c r="J39" s="31" t="s">
        <v>122</v>
      </c>
      <c r="K39" s="31" t="s">
        <v>33</v>
      </c>
      <c r="L39" s="31" t="s">
        <v>100</v>
      </c>
      <c r="M39" s="31" t="s">
        <v>116</v>
      </c>
      <c r="N39" s="31" t="n">
        <v>24</v>
      </c>
      <c r="O39" s="34" t="n">
        <v>7.17</v>
      </c>
      <c r="P39" s="34" t="n">
        <v>16.01</v>
      </c>
      <c r="Q39" s="30" t="s">
        <v>75</v>
      </c>
      <c r="R39" s="31" t="n">
        <v>0</v>
      </c>
      <c r="S39" s="31" t="n">
        <v>3</v>
      </c>
      <c r="T39" s="31"/>
    </row>
    <row r="40" customFormat="false" ht="23.85" hidden="false" customHeight="false" outlineLevel="0" collapsed="false">
      <c r="A40" s="25" t="s">
        <v>161</v>
      </c>
      <c r="B40" s="26" t="n">
        <v>45718</v>
      </c>
      <c r="C40" s="26" t="n">
        <v>45718</v>
      </c>
      <c r="D40" s="26" t="n">
        <v>45719</v>
      </c>
      <c r="E40" s="26" t="n">
        <v>45720</v>
      </c>
      <c r="F40" s="27" t="s">
        <v>70</v>
      </c>
      <c r="G40" s="25" t="s">
        <v>43</v>
      </c>
      <c r="H40" s="25" t="s">
        <v>110</v>
      </c>
      <c r="I40" s="25" t="s">
        <v>39</v>
      </c>
      <c r="J40" s="25" t="s">
        <v>122</v>
      </c>
      <c r="K40" s="25" t="s">
        <v>33</v>
      </c>
      <c r="L40" s="25" t="s">
        <v>79</v>
      </c>
      <c r="M40" s="25" t="s">
        <v>80</v>
      </c>
      <c r="N40" s="25" t="n">
        <v>24</v>
      </c>
      <c r="O40" s="29" t="n">
        <v>21.56</v>
      </c>
      <c r="P40" s="29" t="n">
        <v>44.91</v>
      </c>
      <c r="Q40" s="30" t="s">
        <v>75</v>
      </c>
      <c r="R40" s="25" t="n">
        <v>0</v>
      </c>
      <c r="S40" s="25" t="n">
        <v>3</v>
      </c>
      <c r="T40" s="25"/>
    </row>
    <row r="41" customFormat="false" ht="15" hidden="false" customHeight="false" outlineLevel="0" collapsed="false">
      <c r="A41" s="31" t="s">
        <v>162</v>
      </c>
      <c r="B41" s="32" t="n">
        <v>45700</v>
      </c>
      <c r="C41" s="32" t="n">
        <v>45701</v>
      </c>
      <c r="D41" s="32" t="n">
        <v>45703</v>
      </c>
      <c r="E41" s="32" t="n">
        <v>45704</v>
      </c>
      <c r="F41" s="37" t="s">
        <v>92</v>
      </c>
      <c r="G41" s="31" t="s">
        <v>32</v>
      </c>
      <c r="H41" s="31" t="s">
        <v>163</v>
      </c>
      <c r="I41" s="25" t="s">
        <v>39</v>
      </c>
      <c r="J41" s="31" t="s">
        <v>72</v>
      </c>
      <c r="K41" s="31" t="s">
        <v>44</v>
      </c>
      <c r="L41" s="31" t="s">
        <v>79</v>
      </c>
      <c r="M41" s="31" t="s">
        <v>74</v>
      </c>
      <c r="N41" s="31" t="n">
        <v>72</v>
      </c>
      <c r="O41" s="34" t="n">
        <v>26.59</v>
      </c>
      <c r="P41" s="34" t="n">
        <v>90.52</v>
      </c>
      <c r="Q41" s="30" t="s">
        <v>75</v>
      </c>
      <c r="R41" s="31" t="n">
        <v>0</v>
      </c>
      <c r="S41" s="31" t="n">
        <v>3</v>
      </c>
      <c r="T41" s="31"/>
    </row>
    <row r="42" customFormat="false" ht="15" hidden="false" customHeight="false" outlineLevel="0" collapsed="false">
      <c r="A42" s="25" t="s">
        <v>164</v>
      </c>
      <c r="B42" s="26" t="n">
        <v>45703</v>
      </c>
      <c r="C42" s="26" t="n">
        <v>45704</v>
      </c>
      <c r="D42" s="25"/>
      <c r="E42" s="25"/>
      <c r="F42" s="37" t="s">
        <v>92</v>
      </c>
      <c r="G42" s="25" t="s">
        <v>40</v>
      </c>
      <c r="H42" s="25" t="s">
        <v>142</v>
      </c>
      <c r="I42" s="38" t="s">
        <v>34</v>
      </c>
      <c r="J42" s="25" t="s">
        <v>111</v>
      </c>
      <c r="K42" s="25" t="s">
        <v>38</v>
      </c>
      <c r="L42" s="25" t="s">
        <v>73</v>
      </c>
      <c r="M42" s="25" t="s">
        <v>158</v>
      </c>
      <c r="N42" s="25" t="n">
        <v>72</v>
      </c>
      <c r="O42" s="29" t="n">
        <v>28.12</v>
      </c>
      <c r="P42" s="29"/>
      <c r="Q42" s="30" t="s">
        <v>75</v>
      </c>
      <c r="R42" s="25" t="n">
        <v>0</v>
      </c>
      <c r="S42" s="25"/>
      <c r="T42" s="25"/>
    </row>
    <row r="43" customFormat="false" ht="15" hidden="false" customHeight="false" outlineLevel="0" collapsed="false">
      <c r="A43" s="31" t="s">
        <v>165</v>
      </c>
      <c r="B43" s="32" t="n">
        <v>45681</v>
      </c>
      <c r="C43" s="32" t="n">
        <v>45681</v>
      </c>
      <c r="D43" s="32" t="n">
        <v>45681</v>
      </c>
      <c r="E43" s="32" t="n">
        <v>45682</v>
      </c>
      <c r="F43" s="36" t="s">
        <v>87</v>
      </c>
      <c r="G43" s="31" t="s">
        <v>37</v>
      </c>
      <c r="H43" s="31" t="s">
        <v>140</v>
      </c>
      <c r="I43" s="25" t="s">
        <v>39</v>
      </c>
      <c r="J43" s="31" t="s">
        <v>111</v>
      </c>
      <c r="K43" s="31" t="s">
        <v>38</v>
      </c>
      <c r="L43" s="31" t="s">
        <v>79</v>
      </c>
      <c r="M43" s="31" t="s">
        <v>153</v>
      </c>
      <c r="N43" s="31" t="n">
        <v>8</v>
      </c>
      <c r="O43" s="34" t="n">
        <v>10.34</v>
      </c>
      <c r="P43" s="34" t="n">
        <v>23.17</v>
      </c>
      <c r="Q43" s="40" t="s">
        <v>108</v>
      </c>
      <c r="R43" s="31" t="n">
        <v>0</v>
      </c>
      <c r="S43" s="31" t="n">
        <v>5</v>
      </c>
      <c r="T43" s="31"/>
    </row>
    <row r="44" customFormat="false" ht="15" hidden="false" customHeight="false" outlineLevel="0" collapsed="false">
      <c r="A44" s="25" t="s">
        <v>166</v>
      </c>
      <c r="B44" s="26" t="n">
        <v>45668</v>
      </c>
      <c r="C44" s="26" t="n">
        <v>45671</v>
      </c>
      <c r="D44" s="25"/>
      <c r="E44" s="25"/>
      <c r="F44" s="37" t="s">
        <v>92</v>
      </c>
      <c r="G44" s="25" t="s">
        <v>37</v>
      </c>
      <c r="H44" s="25" t="s">
        <v>167</v>
      </c>
      <c r="I44" s="33" t="s">
        <v>30</v>
      </c>
      <c r="J44" s="25" t="s">
        <v>111</v>
      </c>
      <c r="K44" s="25" t="s">
        <v>38</v>
      </c>
      <c r="L44" s="25" t="s">
        <v>84</v>
      </c>
      <c r="M44" s="25" t="s">
        <v>90</v>
      </c>
      <c r="N44" s="25" t="n">
        <v>72</v>
      </c>
      <c r="O44" s="29" t="n">
        <v>73.16</v>
      </c>
      <c r="P44" s="29"/>
      <c r="Q44" s="40" t="s">
        <v>108</v>
      </c>
      <c r="R44" s="25" t="n">
        <v>0</v>
      </c>
      <c r="S44" s="25"/>
      <c r="T44" s="25"/>
    </row>
    <row r="45" customFormat="false" ht="23.85" hidden="false" customHeight="false" outlineLevel="0" collapsed="false">
      <c r="A45" s="31" t="s">
        <v>168</v>
      </c>
      <c r="B45" s="32" t="n">
        <v>45720</v>
      </c>
      <c r="C45" s="32" t="n">
        <v>45720</v>
      </c>
      <c r="D45" s="32" t="n">
        <v>45722</v>
      </c>
      <c r="E45" s="31"/>
      <c r="F45" s="27" t="s">
        <v>70</v>
      </c>
      <c r="G45" s="31" t="s">
        <v>43</v>
      </c>
      <c r="H45" s="31" t="s">
        <v>169</v>
      </c>
      <c r="I45" s="35" t="s">
        <v>31</v>
      </c>
      <c r="J45" s="31" t="s">
        <v>72</v>
      </c>
      <c r="K45" s="31" t="s">
        <v>44</v>
      </c>
      <c r="L45" s="31" t="s">
        <v>89</v>
      </c>
      <c r="M45" s="31" t="s">
        <v>112</v>
      </c>
      <c r="N45" s="31" t="n">
        <v>24</v>
      </c>
      <c r="O45" s="34" t="n">
        <v>16.63</v>
      </c>
      <c r="P45" s="34" t="n">
        <v>55.34</v>
      </c>
      <c r="Q45" s="30" t="s">
        <v>75</v>
      </c>
      <c r="R45" s="31" t="n">
        <v>0</v>
      </c>
      <c r="S45" s="31" t="n">
        <v>3</v>
      </c>
      <c r="T45" s="31"/>
    </row>
    <row r="46" customFormat="false" ht="15" hidden="false" customHeight="false" outlineLevel="0" collapsed="false">
      <c r="A46" s="25" t="s">
        <v>170</v>
      </c>
      <c r="B46" s="26" t="n">
        <v>45722</v>
      </c>
      <c r="C46" s="26" t="n">
        <v>45722</v>
      </c>
      <c r="D46" s="26" t="n">
        <v>45724</v>
      </c>
      <c r="E46" s="26" t="n">
        <v>45725</v>
      </c>
      <c r="F46" s="27" t="s">
        <v>70</v>
      </c>
      <c r="G46" s="25" t="s">
        <v>47</v>
      </c>
      <c r="H46" s="25" t="s">
        <v>171</v>
      </c>
      <c r="I46" s="25" t="s">
        <v>39</v>
      </c>
      <c r="J46" s="25" t="s">
        <v>83</v>
      </c>
      <c r="K46" s="25" t="s">
        <v>36</v>
      </c>
      <c r="L46" s="25" t="s">
        <v>73</v>
      </c>
      <c r="M46" s="25" t="s">
        <v>80</v>
      </c>
      <c r="N46" s="25" t="n">
        <v>24</v>
      </c>
      <c r="O46" s="29" t="n">
        <v>22.24</v>
      </c>
      <c r="P46" s="29" t="n">
        <v>59.82</v>
      </c>
      <c r="Q46" s="30" t="s">
        <v>75</v>
      </c>
      <c r="R46" s="25" t="n">
        <v>0</v>
      </c>
      <c r="S46" s="25" t="n">
        <v>4</v>
      </c>
      <c r="T46" s="25"/>
    </row>
    <row r="47" customFormat="false" ht="15" hidden="false" customHeight="false" outlineLevel="0" collapsed="false">
      <c r="A47" s="31" t="s">
        <v>172</v>
      </c>
      <c r="B47" s="32" t="n">
        <v>45678</v>
      </c>
      <c r="C47" s="32" t="n">
        <v>45678</v>
      </c>
      <c r="D47" s="31"/>
      <c r="E47" s="31"/>
      <c r="F47" s="27" t="s">
        <v>70</v>
      </c>
      <c r="G47" s="31" t="s">
        <v>48</v>
      </c>
      <c r="H47" s="31" t="s">
        <v>120</v>
      </c>
      <c r="I47" s="38" t="s">
        <v>34</v>
      </c>
      <c r="J47" s="31" t="s">
        <v>83</v>
      </c>
      <c r="K47" s="31" t="s">
        <v>36</v>
      </c>
      <c r="L47" s="31" t="s">
        <v>73</v>
      </c>
      <c r="M47" s="31" t="s">
        <v>95</v>
      </c>
      <c r="N47" s="31" t="n">
        <v>24</v>
      </c>
      <c r="O47" s="34" t="n">
        <v>19.03</v>
      </c>
      <c r="P47" s="34"/>
      <c r="Q47" s="30" t="s">
        <v>75</v>
      </c>
      <c r="R47" s="31" t="n">
        <v>2</v>
      </c>
      <c r="S47" s="31"/>
      <c r="T47" s="31"/>
    </row>
    <row r="48" customFormat="false" ht="15" hidden="false" customHeight="false" outlineLevel="0" collapsed="false">
      <c r="A48" s="25" t="s">
        <v>173</v>
      </c>
      <c r="B48" s="26" t="n">
        <v>45650</v>
      </c>
      <c r="C48" s="26" t="n">
        <v>45651</v>
      </c>
      <c r="D48" s="25"/>
      <c r="E48" s="25"/>
      <c r="F48" s="27" t="s">
        <v>70</v>
      </c>
      <c r="G48" s="25" t="s">
        <v>32</v>
      </c>
      <c r="H48" s="25" t="s">
        <v>88</v>
      </c>
      <c r="I48" s="38" t="s">
        <v>34</v>
      </c>
      <c r="J48" s="25" t="s">
        <v>83</v>
      </c>
      <c r="K48" s="25" t="s">
        <v>36</v>
      </c>
      <c r="L48" s="25" t="s">
        <v>79</v>
      </c>
      <c r="M48" s="25" t="s">
        <v>95</v>
      </c>
      <c r="N48" s="25" t="n">
        <v>24</v>
      </c>
      <c r="O48" s="29" t="n">
        <v>32.57</v>
      </c>
      <c r="P48" s="29"/>
      <c r="Q48" s="40" t="s">
        <v>108</v>
      </c>
      <c r="R48" s="25" t="n">
        <v>0</v>
      </c>
      <c r="S48" s="25"/>
      <c r="T48" s="25"/>
    </row>
    <row r="49" customFormat="false" ht="15" hidden="false" customHeight="false" outlineLevel="0" collapsed="false">
      <c r="A49" s="31" t="s">
        <v>174</v>
      </c>
      <c r="B49" s="32" t="n">
        <v>45690</v>
      </c>
      <c r="C49" s="32" t="n">
        <v>45690</v>
      </c>
      <c r="D49" s="32" t="n">
        <v>45690</v>
      </c>
      <c r="E49" s="31"/>
      <c r="F49" s="41" t="s">
        <v>114</v>
      </c>
      <c r="G49" s="31" t="s">
        <v>48</v>
      </c>
      <c r="H49" s="31" t="s">
        <v>71</v>
      </c>
      <c r="I49" s="35" t="s">
        <v>31</v>
      </c>
      <c r="J49" s="31" t="s">
        <v>78</v>
      </c>
      <c r="K49" s="31" t="s">
        <v>41</v>
      </c>
      <c r="L49" s="31" t="s">
        <v>106</v>
      </c>
      <c r="M49" s="31" t="s">
        <v>112</v>
      </c>
      <c r="N49" s="31" t="n">
        <v>4</v>
      </c>
      <c r="O49" s="34" t="n">
        <v>5.58</v>
      </c>
      <c r="P49" s="34" t="n">
        <v>9.46</v>
      </c>
      <c r="Q49" s="40" t="s">
        <v>108</v>
      </c>
      <c r="R49" s="31" t="n">
        <v>0</v>
      </c>
      <c r="S49" s="31" t="n">
        <v>3</v>
      </c>
      <c r="T49" s="31"/>
    </row>
    <row r="50" customFormat="false" ht="15" hidden="false" customHeight="false" outlineLevel="0" collapsed="false">
      <c r="A50" s="25" t="s">
        <v>175</v>
      </c>
      <c r="B50" s="26" t="n">
        <v>45666</v>
      </c>
      <c r="C50" s="26" t="n">
        <v>45667</v>
      </c>
      <c r="D50" s="25"/>
      <c r="E50" s="25"/>
      <c r="F50" s="27" t="s">
        <v>70</v>
      </c>
      <c r="G50" s="25" t="s">
        <v>40</v>
      </c>
      <c r="H50" s="25" t="s">
        <v>138</v>
      </c>
      <c r="I50" s="38" t="s">
        <v>34</v>
      </c>
      <c r="J50" s="25" t="s">
        <v>72</v>
      </c>
      <c r="K50" s="25" t="s">
        <v>44</v>
      </c>
      <c r="L50" s="25" t="s">
        <v>94</v>
      </c>
      <c r="M50" s="25" t="s">
        <v>80</v>
      </c>
      <c r="N50" s="25" t="n">
        <v>24</v>
      </c>
      <c r="O50" s="29" t="n">
        <v>35.43</v>
      </c>
      <c r="P50" s="29"/>
      <c r="Q50" s="40" t="s">
        <v>108</v>
      </c>
      <c r="R50" s="25" t="n">
        <v>1</v>
      </c>
      <c r="S50" s="25"/>
      <c r="T50" s="25"/>
    </row>
    <row r="51" customFormat="false" ht="15" hidden="false" customHeight="false" outlineLevel="0" collapsed="false">
      <c r="A51" s="31" t="s">
        <v>176</v>
      </c>
      <c r="B51" s="32" t="n">
        <v>45670</v>
      </c>
      <c r="C51" s="32" t="n">
        <v>45671</v>
      </c>
      <c r="D51" s="32" t="n">
        <v>45672</v>
      </c>
      <c r="E51" s="31"/>
      <c r="F51" s="27" t="s">
        <v>70</v>
      </c>
      <c r="G51" s="31" t="s">
        <v>40</v>
      </c>
      <c r="H51" s="31" t="s">
        <v>177</v>
      </c>
      <c r="I51" s="35" t="s">
        <v>31</v>
      </c>
      <c r="J51" s="31" t="s">
        <v>111</v>
      </c>
      <c r="K51" s="31" t="s">
        <v>38</v>
      </c>
      <c r="L51" s="31" t="s">
        <v>84</v>
      </c>
      <c r="M51" s="31" t="s">
        <v>98</v>
      </c>
      <c r="N51" s="31" t="n">
        <v>24</v>
      </c>
      <c r="O51" s="34" t="n">
        <v>24.64</v>
      </c>
      <c r="P51" s="34" t="n">
        <v>50.86</v>
      </c>
      <c r="Q51" s="40" t="s">
        <v>108</v>
      </c>
      <c r="R51" s="31" t="n">
        <v>0</v>
      </c>
      <c r="S51" s="31" t="n">
        <v>5</v>
      </c>
      <c r="T51" s="31"/>
    </row>
    <row r="52" customFormat="false" ht="15" hidden="false" customHeight="false" outlineLevel="0" collapsed="false">
      <c r="A52" s="25" t="s">
        <v>178</v>
      </c>
      <c r="B52" s="26" t="n">
        <v>45645</v>
      </c>
      <c r="C52" s="26" t="n">
        <v>45645</v>
      </c>
      <c r="D52" s="25"/>
      <c r="E52" s="25"/>
      <c r="F52" s="36" t="s">
        <v>87</v>
      </c>
      <c r="G52" s="25" t="s">
        <v>48</v>
      </c>
      <c r="H52" s="25" t="s">
        <v>71</v>
      </c>
      <c r="I52" s="33" t="s">
        <v>30</v>
      </c>
      <c r="J52" s="25" t="s">
        <v>72</v>
      </c>
      <c r="K52" s="25" t="s">
        <v>44</v>
      </c>
      <c r="L52" s="25" t="s">
        <v>84</v>
      </c>
      <c r="M52" s="25" t="s">
        <v>80</v>
      </c>
      <c r="N52" s="25" t="n">
        <v>8</v>
      </c>
      <c r="O52" s="29" t="n">
        <v>9.99</v>
      </c>
      <c r="P52" s="29"/>
      <c r="Q52" s="40" t="s">
        <v>108</v>
      </c>
      <c r="R52" s="25" t="n">
        <v>0</v>
      </c>
      <c r="S52" s="25"/>
      <c r="T52" s="25"/>
    </row>
    <row r="53" customFormat="false" ht="15" hidden="false" customHeight="false" outlineLevel="0" collapsed="false">
      <c r="A53" s="31" t="s">
        <v>179</v>
      </c>
      <c r="B53" s="32" t="n">
        <v>45693</v>
      </c>
      <c r="C53" s="32" t="n">
        <v>45693</v>
      </c>
      <c r="D53" s="32" t="n">
        <v>45693</v>
      </c>
      <c r="E53" s="31"/>
      <c r="F53" s="36" t="s">
        <v>87</v>
      </c>
      <c r="G53" s="31" t="s">
        <v>46</v>
      </c>
      <c r="H53" s="31" t="s">
        <v>132</v>
      </c>
      <c r="I53" s="35" t="s">
        <v>31</v>
      </c>
      <c r="J53" s="31" t="s">
        <v>83</v>
      </c>
      <c r="K53" s="31" t="s">
        <v>36</v>
      </c>
      <c r="L53" s="31" t="s">
        <v>100</v>
      </c>
      <c r="M53" s="31" t="s">
        <v>126</v>
      </c>
      <c r="N53" s="31" t="n">
        <v>8</v>
      </c>
      <c r="O53" s="34" t="n">
        <v>2.81</v>
      </c>
      <c r="P53" s="34" t="n">
        <v>8.36</v>
      </c>
      <c r="Q53" s="30" t="s">
        <v>75</v>
      </c>
      <c r="R53" s="31" t="n">
        <v>0</v>
      </c>
      <c r="S53" s="31" t="n">
        <v>4</v>
      </c>
      <c r="T53" s="31"/>
    </row>
    <row r="54" customFormat="false" ht="15" hidden="false" customHeight="false" outlineLevel="0" collapsed="false">
      <c r="A54" s="25" t="s">
        <v>180</v>
      </c>
      <c r="B54" s="26" t="n">
        <v>45667</v>
      </c>
      <c r="C54" s="26" t="n">
        <v>45668</v>
      </c>
      <c r="D54" s="26" t="n">
        <v>45669</v>
      </c>
      <c r="E54" s="26" t="n">
        <v>45669</v>
      </c>
      <c r="F54" s="27" t="s">
        <v>70</v>
      </c>
      <c r="G54" s="25" t="s">
        <v>35</v>
      </c>
      <c r="H54" s="25" t="s">
        <v>152</v>
      </c>
      <c r="I54" s="25" t="s">
        <v>39</v>
      </c>
      <c r="J54" s="25" t="s">
        <v>111</v>
      </c>
      <c r="K54" s="25" t="s">
        <v>38</v>
      </c>
      <c r="L54" s="25" t="s">
        <v>84</v>
      </c>
      <c r="M54" s="25" t="s">
        <v>101</v>
      </c>
      <c r="N54" s="25" t="n">
        <v>24</v>
      </c>
      <c r="O54" s="29" t="n">
        <v>34.86</v>
      </c>
      <c r="P54" s="29" t="n">
        <v>63.75</v>
      </c>
      <c r="Q54" s="40" t="s">
        <v>108</v>
      </c>
      <c r="R54" s="25" t="n">
        <v>0</v>
      </c>
      <c r="S54" s="25" t="n">
        <v>4</v>
      </c>
      <c r="T54" s="25"/>
    </row>
    <row r="55" customFormat="false" ht="15" hidden="false" customHeight="false" outlineLevel="0" collapsed="false">
      <c r="A55" s="31" t="s">
        <v>181</v>
      </c>
      <c r="B55" s="32" t="n">
        <v>45671</v>
      </c>
      <c r="C55" s="32" t="n">
        <v>45671</v>
      </c>
      <c r="D55" s="32" t="n">
        <v>45671</v>
      </c>
      <c r="E55" s="31"/>
      <c r="F55" s="36" t="s">
        <v>87</v>
      </c>
      <c r="G55" s="31" t="s">
        <v>46</v>
      </c>
      <c r="H55" s="31" t="s">
        <v>150</v>
      </c>
      <c r="I55" s="35" t="s">
        <v>31</v>
      </c>
      <c r="J55" s="31" t="s">
        <v>72</v>
      </c>
      <c r="K55" s="31" t="s">
        <v>44</v>
      </c>
      <c r="L55" s="31" t="s">
        <v>79</v>
      </c>
      <c r="M55" s="31" t="s">
        <v>85</v>
      </c>
      <c r="N55" s="31" t="n">
        <v>8</v>
      </c>
      <c r="O55" s="34" t="n">
        <v>5.96</v>
      </c>
      <c r="P55" s="34" t="n">
        <v>12.2</v>
      </c>
      <c r="Q55" s="30" t="s">
        <v>75</v>
      </c>
      <c r="R55" s="31" t="n">
        <v>0</v>
      </c>
      <c r="S55" s="31" t="n">
        <v>3</v>
      </c>
      <c r="T55" s="31"/>
    </row>
    <row r="56" customFormat="false" ht="15" hidden="false" customHeight="false" outlineLevel="0" collapsed="false">
      <c r="A56" s="25" t="s">
        <v>182</v>
      </c>
      <c r="B56" s="26" t="n">
        <v>45659</v>
      </c>
      <c r="C56" s="26" t="n">
        <v>45660</v>
      </c>
      <c r="D56" s="26" t="n">
        <v>45660</v>
      </c>
      <c r="E56" s="26" t="n">
        <v>45660</v>
      </c>
      <c r="F56" s="27" t="s">
        <v>70</v>
      </c>
      <c r="G56" s="25" t="s">
        <v>35</v>
      </c>
      <c r="H56" s="25" t="s">
        <v>77</v>
      </c>
      <c r="I56" s="25" t="s">
        <v>39</v>
      </c>
      <c r="J56" s="25" t="s">
        <v>78</v>
      </c>
      <c r="K56" s="25" t="s">
        <v>41</v>
      </c>
      <c r="L56" s="25" t="s">
        <v>106</v>
      </c>
      <c r="M56" s="25" t="s">
        <v>95</v>
      </c>
      <c r="N56" s="25" t="n">
        <v>24</v>
      </c>
      <c r="O56" s="29" t="n">
        <v>30.45</v>
      </c>
      <c r="P56" s="29" t="n">
        <v>38.14</v>
      </c>
      <c r="Q56" s="40" t="s">
        <v>108</v>
      </c>
      <c r="R56" s="25" t="n">
        <v>0</v>
      </c>
      <c r="S56" s="25" t="n">
        <v>4</v>
      </c>
      <c r="T56" s="25"/>
    </row>
    <row r="57" customFormat="false" ht="15" hidden="false" customHeight="false" outlineLevel="0" collapsed="false">
      <c r="A57" s="31" t="s">
        <v>183</v>
      </c>
      <c r="B57" s="32" t="n">
        <v>45734</v>
      </c>
      <c r="C57" s="32" t="n">
        <v>45734</v>
      </c>
      <c r="D57" s="31"/>
      <c r="E57" s="31"/>
      <c r="F57" s="41" t="s">
        <v>114</v>
      </c>
      <c r="G57" s="31" t="s">
        <v>37</v>
      </c>
      <c r="H57" s="31" t="s">
        <v>140</v>
      </c>
      <c r="I57" s="39" t="s">
        <v>42</v>
      </c>
      <c r="J57" s="31" t="s">
        <v>72</v>
      </c>
      <c r="K57" s="31" t="s">
        <v>44</v>
      </c>
      <c r="L57" s="31" t="s">
        <v>106</v>
      </c>
      <c r="M57" s="31" t="s">
        <v>80</v>
      </c>
      <c r="N57" s="31" t="n">
        <v>4</v>
      </c>
      <c r="O57" s="34" t="n">
        <v>1.5</v>
      </c>
      <c r="P57" s="34"/>
      <c r="Q57" s="30" t="s">
        <v>75</v>
      </c>
      <c r="R57" s="31" t="n">
        <v>0</v>
      </c>
      <c r="S57" s="31"/>
      <c r="T57" s="31"/>
    </row>
    <row r="58" customFormat="false" ht="15" hidden="false" customHeight="false" outlineLevel="0" collapsed="false">
      <c r="A58" s="25" t="s">
        <v>184</v>
      </c>
      <c r="B58" s="26" t="n">
        <v>45703</v>
      </c>
      <c r="C58" s="26" t="n">
        <v>45703</v>
      </c>
      <c r="D58" s="26" t="n">
        <v>45703</v>
      </c>
      <c r="E58" s="25"/>
      <c r="F58" s="41" t="s">
        <v>114</v>
      </c>
      <c r="G58" s="25" t="s">
        <v>48</v>
      </c>
      <c r="H58" s="25" t="s">
        <v>185</v>
      </c>
      <c r="I58" s="35" t="s">
        <v>31</v>
      </c>
      <c r="J58" s="25" t="s">
        <v>111</v>
      </c>
      <c r="K58" s="25" t="s">
        <v>38</v>
      </c>
      <c r="L58" s="25" t="s">
        <v>73</v>
      </c>
      <c r="M58" s="25" t="s">
        <v>98</v>
      </c>
      <c r="N58" s="25" t="n">
        <v>4</v>
      </c>
      <c r="O58" s="29" t="n">
        <v>4.92</v>
      </c>
      <c r="P58" s="29" t="n">
        <v>7.42</v>
      </c>
      <c r="Q58" s="40" t="s">
        <v>108</v>
      </c>
      <c r="R58" s="25" t="n">
        <v>0</v>
      </c>
      <c r="S58" s="25" t="n">
        <v>3</v>
      </c>
      <c r="T58" s="25"/>
    </row>
    <row r="59" customFormat="false" ht="15" hidden="false" customHeight="false" outlineLevel="0" collapsed="false">
      <c r="A59" s="31" t="s">
        <v>186</v>
      </c>
      <c r="B59" s="32" t="n">
        <v>45691</v>
      </c>
      <c r="C59" s="32" t="n">
        <v>45693</v>
      </c>
      <c r="D59" s="32" t="n">
        <v>45695</v>
      </c>
      <c r="E59" s="31"/>
      <c r="F59" s="37" t="s">
        <v>92</v>
      </c>
      <c r="G59" s="31" t="s">
        <v>37</v>
      </c>
      <c r="H59" s="31" t="s">
        <v>103</v>
      </c>
      <c r="I59" s="35" t="s">
        <v>31</v>
      </c>
      <c r="J59" s="31" t="s">
        <v>111</v>
      </c>
      <c r="K59" s="31" t="s">
        <v>38</v>
      </c>
      <c r="L59" s="31" t="s">
        <v>89</v>
      </c>
      <c r="M59" s="31" t="s">
        <v>95</v>
      </c>
      <c r="N59" s="31" t="n">
        <v>72</v>
      </c>
      <c r="O59" s="34" t="n">
        <v>64.75</v>
      </c>
      <c r="P59" s="34" t="n">
        <v>105.21</v>
      </c>
      <c r="Q59" s="30" t="s">
        <v>75</v>
      </c>
      <c r="R59" s="31" t="n">
        <v>0</v>
      </c>
      <c r="S59" s="31" t="n">
        <v>3</v>
      </c>
      <c r="T59" s="31"/>
    </row>
    <row r="60" customFormat="false" ht="23.85" hidden="false" customHeight="false" outlineLevel="0" collapsed="false">
      <c r="A60" s="25" t="s">
        <v>187</v>
      </c>
      <c r="B60" s="26" t="n">
        <v>45684</v>
      </c>
      <c r="C60" s="26" t="n">
        <v>45685</v>
      </c>
      <c r="D60" s="25"/>
      <c r="E60" s="25"/>
      <c r="F60" s="27" t="s">
        <v>70</v>
      </c>
      <c r="G60" s="25" t="s">
        <v>43</v>
      </c>
      <c r="H60" s="25" t="s">
        <v>169</v>
      </c>
      <c r="I60" s="38" t="s">
        <v>34</v>
      </c>
      <c r="J60" s="25" t="s">
        <v>83</v>
      </c>
      <c r="K60" s="25" t="s">
        <v>36</v>
      </c>
      <c r="L60" s="25" t="s">
        <v>73</v>
      </c>
      <c r="M60" s="25" t="s">
        <v>90</v>
      </c>
      <c r="N60" s="25" t="n">
        <v>24</v>
      </c>
      <c r="O60" s="29" t="n">
        <v>25.51</v>
      </c>
      <c r="P60" s="29"/>
      <c r="Q60" s="40" t="s">
        <v>108</v>
      </c>
      <c r="R60" s="25" t="n">
        <v>0</v>
      </c>
      <c r="S60" s="25"/>
      <c r="T60" s="25"/>
    </row>
    <row r="61" customFormat="false" ht="15" hidden="false" customHeight="false" outlineLevel="0" collapsed="false">
      <c r="A61" s="31" t="s">
        <v>188</v>
      </c>
      <c r="B61" s="32" t="n">
        <v>45691</v>
      </c>
      <c r="C61" s="32" t="n">
        <v>45692</v>
      </c>
      <c r="D61" s="32" t="n">
        <v>45692</v>
      </c>
      <c r="E61" s="31"/>
      <c r="F61" s="27" t="s">
        <v>70</v>
      </c>
      <c r="G61" s="31" t="s">
        <v>37</v>
      </c>
      <c r="H61" s="31" t="s">
        <v>103</v>
      </c>
      <c r="I61" s="35" t="s">
        <v>31</v>
      </c>
      <c r="J61" s="31" t="s">
        <v>72</v>
      </c>
      <c r="K61" s="31" t="s">
        <v>44</v>
      </c>
      <c r="L61" s="31" t="s">
        <v>84</v>
      </c>
      <c r="M61" s="31" t="s">
        <v>112</v>
      </c>
      <c r="N61" s="31" t="n">
        <v>24</v>
      </c>
      <c r="O61" s="34" t="n">
        <v>29.98</v>
      </c>
      <c r="P61" s="34" t="n">
        <v>31.79</v>
      </c>
      <c r="Q61" s="40" t="s">
        <v>108</v>
      </c>
      <c r="R61" s="31" t="n">
        <v>0</v>
      </c>
      <c r="S61" s="31" t="n">
        <v>3</v>
      </c>
      <c r="T61" s="31"/>
    </row>
    <row r="62" customFormat="false" ht="15" hidden="false" customHeight="false" outlineLevel="0" collapsed="false">
      <c r="A62" s="25" t="s">
        <v>189</v>
      </c>
      <c r="B62" s="26" t="n">
        <v>45665</v>
      </c>
      <c r="C62" s="26" t="n">
        <v>45666</v>
      </c>
      <c r="D62" s="25"/>
      <c r="E62" s="25"/>
      <c r="F62" s="27" t="s">
        <v>70</v>
      </c>
      <c r="G62" s="25" t="s">
        <v>35</v>
      </c>
      <c r="H62" s="25" t="s">
        <v>77</v>
      </c>
      <c r="I62" s="38" t="s">
        <v>34</v>
      </c>
      <c r="J62" s="25" t="s">
        <v>122</v>
      </c>
      <c r="K62" s="25" t="s">
        <v>33</v>
      </c>
      <c r="L62" s="25" t="s">
        <v>100</v>
      </c>
      <c r="M62" s="25" t="s">
        <v>112</v>
      </c>
      <c r="N62" s="25" t="n">
        <v>24</v>
      </c>
      <c r="O62" s="29" t="n">
        <v>27.78</v>
      </c>
      <c r="P62" s="29"/>
      <c r="Q62" s="40" t="s">
        <v>108</v>
      </c>
      <c r="R62" s="25" t="n">
        <v>2</v>
      </c>
      <c r="S62" s="25"/>
      <c r="T62" s="25"/>
    </row>
    <row r="63" customFormat="false" ht="15" hidden="false" customHeight="false" outlineLevel="0" collapsed="false">
      <c r="A63" s="31" t="s">
        <v>190</v>
      </c>
      <c r="B63" s="32" t="n">
        <v>45701</v>
      </c>
      <c r="C63" s="32" t="n">
        <v>45701</v>
      </c>
      <c r="D63" s="31"/>
      <c r="E63" s="31"/>
      <c r="F63" s="27" t="s">
        <v>70</v>
      </c>
      <c r="G63" s="31" t="s">
        <v>47</v>
      </c>
      <c r="H63" s="31" t="s">
        <v>130</v>
      </c>
      <c r="I63" s="38" t="s">
        <v>34</v>
      </c>
      <c r="J63" s="31" t="s">
        <v>122</v>
      </c>
      <c r="K63" s="31" t="s">
        <v>33</v>
      </c>
      <c r="L63" s="31" t="s">
        <v>144</v>
      </c>
      <c r="M63" s="31" t="s">
        <v>95</v>
      </c>
      <c r="N63" s="31" t="n">
        <v>24</v>
      </c>
      <c r="O63" s="34" t="n">
        <v>12.93</v>
      </c>
      <c r="P63" s="34"/>
      <c r="Q63" s="30" t="s">
        <v>75</v>
      </c>
      <c r="R63" s="31" t="n">
        <v>0</v>
      </c>
      <c r="S63" s="31"/>
      <c r="T63" s="31"/>
    </row>
  </sheetData>
  <mergeCells count="2">
    <mergeCell ref="A1:T1"/>
    <mergeCell ref="A2:T2"/>
  </mergeCells>
  <dataValidations count="3">
    <dataValidation allowBlank="false" errorStyle="stop" operator="between" showDropDown="false" showErrorMessage="false" showInputMessage="false" sqref="F4:F500" type="list">
      <formula1>"P1 - Critical,P2 - High,P3 - Medium,P4 - Low"</formula1>
      <formula2>0</formula2>
    </dataValidation>
    <dataValidation allowBlank="false" errorStyle="stop" operator="between" showDropDown="false" showErrorMessage="false" showInputMessage="false" sqref="I4:I500" type="list">
      <formula1>"Open,In Progress,Resolved,Closed,Reopened,Pending User"</formula1>
      <formula2>0</formula2>
    </dataValidation>
    <dataValidation allowBlank="false" errorStyle="stop" operator="between" showDropDown="false" showErrorMessage="false" showInputMessage="false" sqref="G4:G500" type="list">
      <formula1>"Hardware,Software,Network,Access &amp; Security,Email &amp; Communication,Printer,Mobile Device,Other"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3483"/>
    <pageSetUpPr fitToPage="false"/>
  </sheetPr>
  <dimension ref="A1:K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10"/>
  </cols>
  <sheetData>
    <row r="1" customFormat="false" ht="43.5" hidden="false" customHeight="true" outlineLevel="0" collapsed="false">
      <c r="A1" s="23" t="s">
        <v>191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customFormat="false" ht="19.5" hidden="false" customHeight="true" outlineLevel="0" collapsed="false">
      <c r="A2" s="2" t="s">
        <v>192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3.85" hidden="false" customHeight="false" outlineLevel="0" collapsed="false">
      <c r="A3" s="24" t="s">
        <v>58</v>
      </c>
      <c r="B3" s="24" t="s">
        <v>193</v>
      </c>
      <c r="C3" s="24" t="s">
        <v>194</v>
      </c>
      <c r="D3" s="24" t="s">
        <v>195</v>
      </c>
      <c r="E3" s="24" t="s">
        <v>196</v>
      </c>
      <c r="F3" s="24" t="s">
        <v>197</v>
      </c>
      <c r="G3" s="24" t="s">
        <v>198</v>
      </c>
      <c r="H3" s="24" t="s">
        <v>199</v>
      </c>
      <c r="I3" s="24" t="s">
        <v>200</v>
      </c>
      <c r="J3" s="24" t="s">
        <v>201</v>
      </c>
      <c r="K3" s="24" t="s">
        <v>24</v>
      </c>
    </row>
    <row r="4" customFormat="false" ht="15" hidden="false" customHeight="false" outlineLevel="0" collapsed="false">
      <c r="A4" s="25" t="s">
        <v>122</v>
      </c>
      <c r="B4" s="25" t="s">
        <v>33</v>
      </c>
      <c r="C4" s="25" t="s">
        <v>202</v>
      </c>
      <c r="D4" s="25" t="s">
        <v>203</v>
      </c>
      <c r="E4" s="25" t="s">
        <v>204</v>
      </c>
      <c r="F4" s="25" t="s">
        <v>205</v>
      </c>
      <c r="G4" s="25" t="n">
        <v>15</v>
      </c>
      <c r="H4" s="25" t="n">
        <f aca="false">COUNTIFS(Tickets!J:J,A4,Tickets!I:I,"Open")+COUNTIFS(Tickets!J:J,A4,Tickets!I:I,"In Progress")</f>
        <v>4</v>
      </c>
      <c r="I4" s="42" t="n">
        <f aca="false">IFERROR(AVERAGEIFS(Tickets!P:P,Tickets!J:J,A4,Tickets!P:P,"&lt;&gt;"),0)</f>
        <v>50.3</v>
      </c>
      <c r="J4" s="42" t="n">
        <f aca="false">IFERROR(AVERAGEIFS(Tickets!S:S,Tickets!J:J,A4,Tickets!S:S,"&lt;&gt;"),0)</f>
        <v>3.33333333333333</v>
      </c>
      <c r="K4" s="25" t="s">
        <v>206</v>
      </c>
    </row>
    <row r="5" customFormat="false" ht="15" hidden="false" customHeight="false" outlineLevel="0" collapsed="false">
      <c r="A5" s="31" t="s">
        <v>83</v>
      </c>
      <c r="B5" s="31" t="s">
        <v>36</v>
      </c>
      <c r="C5" s="31" t="s">
        <v>207</v>
      </c>
      <c r="D5" s="31" t="s">
        <v>208</v>
      </c>
      <c r="E5" s="31" t="s">
        <v>204</v>
      </c>
      <c r="F5" s="31" t="s">
        <v>205</v>
      </c>
      <c r="G5" s="31" t="n">
        <v>15</v>
      </c>
      <c r="H5" s="31" t="n">
        <f aca="false">COUNTIFS(Tickets!J:J,A5,Tickets!I:I,"Open")+COUNTIFS(Tickets!J:J,A5,Tickets!I:I,"In Progress")</f>
        <v>5</v>
      </c>
      <c r="I5" s="43" t="n">
        <f aca="false">IFERROR(AVERAGEIFS(Tickets!P:P,Tickets!J:J,A5,Tickets!P:P,"&lt;&gt;"),0)</f>
        <v>43.256</v>
      </c>
      <c r="J5" s="43" t="n">
        <f aca="false">IFERROR(AVERAGEIFS(Tickets!S:S,Tickets!J:J,A5,Tickets!S:S,"&lt;&gt;"),0)</f>
        <v>4</v>
      </c>
      <c r="K5" s="31" t="s">
        <v>206</v>
      </c>
    </row>
    <row r="6" customFormat="false" ht="15" hidden="false" customHeight="false" outlineLevel="0" collapsed="false">
      <c r="A6" s="25" t="s">
        <v>111</v>
      </c>
      <c r="B6" s="25" t="s">
        <v>38</v>
      </c>
      <c r="C6" s="25" t="s">
        <v>209</v>
      </c>
      <c r="D6" s="25" t="s">
        <v>210</v>
      </c>
      <c r="E6" s="25" t="s">
        <v>211</v>
      </c>
      <c r="F6" s="25" t="s">
        <v>212</v>
      </c>
      <c r="G6" s="25" t="n">
        <v>10</v>
      </c>
      <c r="H6" s="25" t="n">
        <f aca="false">COUNTIFS(Tickets!J:J,A6,Tickets!I:I,"Open")+COUNTIFS(Tickets!J:J,A6,Tickets!I:I,"In Progress")</f>
        <v>3</v>
      </c>
      <c r="I6" s="42" t="n">
        <f aca="false">IFERROR(AVERAGEIFS(Tickets!P:P,Tickets!J:J,A6,Tickets!P:P,"&lt;&gt;"),0)</f>
        <v>50.578</v>
      </c>
      <c r="J6" s="42" t="n">
        <f aca="false">IFERROR(AVERAGEIFS(Tickets!S:S,Tickets!J:J,A6,Tickets!S:S,"&lt;&gt;"),0)</f>
        <v>3.9</v>
      </c>
      <c r="K6" s="25" t="s">
        <v>206</v>
      </c>
    </row>
    <row r="7" customFormat="false" ht="15" hidden="false" customHeight="false" outlineLevel="0" collapsed="false">
      <c r="A7" s="31" t="s">
        <v>78</v>
      </c>
      <c r="B7" s="31" t="s">
        <v>41</v>
      </c>
      <c r="C7" s="31" t="s">
        <v>213</v>
      </c>
      <c r="D7" s="31" t="s">
        <v>214</v>
      </c>
      <c r="E7" s="31" t="s">
        <v>211</v>
      </c>
      <c r="F7" s="31" t="s">
        <v>212</v>
      </c>
      <c r="G7" s="31" t="n">
        <v>10</v>
      </c>
      <c r="H7" s="31" t="n">
        <f aca="false">COUNTIFS(Tickets!J:J,A7,Tickets!I:I,"Open")+COUNTIFS(Tickets!J:J,A7,Tickets!I:I,"In Progress")</f>
        <v>4</v>
      </c>
      <c r="I7" s="43" t="n">
        <f aca="false">IFERROR(AVERAGEIFS(Tickets!P:P,Tickets!J:J,A7,Tickets!P:P,"&lt;&gt;"),0)</f>
        <v>33.386</v>
      </c>
      <c r="J7" s="43" t="n">
        <f aca="false">IFERROR(AVERAGEIFS(Tickets!S:S,Tickets!J:J,A7,Tickets!S:S,"&lt;&gt;"),0)</f>
        <v>3.8</v>
      </c>
      <c r="K7" s="31" t="s">
        <v>206</v>
      </c>
    </row>
    <row r="8" customFormat="false" ht="15" hidden="false" customHeight="false" outlineLevel="0" collapsed="false">
      <c r="A8" s="25" t="s">
        <v>72</v>
      </c>
      <c r="B8" s="25" t="s">
        <v>44</v>
      </c>
      <c r="C8" s="25" t="s">
        <v>215</v>
      </c>
      <c r="D8" s="25" t="s">
        <v>216</v>
      </c>
      <c r="E8" s="25" t="s">
        <v>204</v>
      </c>
      <c r="F8" s="25" t="s">
        <v>217</v>
      </c>
      <c r="G8" s="25" t="n">
        <v>8</v>
      </c>
      <c r="H8" s="25" t="n">
        <f aca="false">COUNTIFS(Tickets!J:J,A8,Tickets!I:I,"Open")+COUNTIFS(Tickets!J:J,A8,Tickets!I:I,"In Progress")</f>
        <v>3</v>
      </c>
      <c r="I8" s="42" t="n">
        <f aca="false">IFERROR(AVERAGEIFS(Tickets!P:P,Tickets!J:J,A8,Tickets!P:P,"&lt;&gt;"),0)</f>
        <v>40.143</v>
      </c>
      <c r="J8" s="42" t="n">
        <f aca="false">IFERROR(AVERAGEIFS(Tickets!S:S,Tickets!J:J,A8,Tickets!S:S,"&lt;&gt;"),0)</f>
        <v>4</v>
      </c>
      <c r="K8" s="25" t="s">
        <v>206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950B"/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4"/>
    <col collapsed="false" customWidth="true" hidden="false" outlineLevel="0" max="9" min="9" style="0" width="50"/>
  </cols>
  <sheetData>
    <row r="1" customFormat="false" ht="43.5" hidden="false" customHeight="true" outlineLevel="0" collapsed="false">
      <c r="A1" s="23" t="s">
        <v>218</v>
      </c>
      <c r="B1" s="23"/>
      <c r="C1" s="23"/>
      <c r="D1" s="23"/>
      <c r="E1" s="23"/>
      <c r="F1" s="23"/>
      <c r="G1" s="23"/>
      <c r="H1" s="23"/>
      <c r="I1" s="23"/>
    </row>
    <row r="2" customFormat="false" ht="19.5" hidden="false" customHeight="true" outlineLevel="0" collapsed="false">
      <c r="A2" s="2" t="s">
        <v>219</v>
      </c>
      <c r="B2" s="2"/>
      <c r="C2" s="2"/>
      <c r="D2" s="2"/>
      <c r="E2" s="2"/>
      <c r="F2" s="2"/>
      <c r="G2" s="2"/>
      <c r="H2" s="2"/>
      <c r="I2" s="2"/>
    </row>
    <row r="3" customFormat="false" ht="23.85" hidden="false" customHeight="false" outlineLevel="0" collapsed="false">
      <c r="A3" s="24" t="s">
        <v>56</v>
      </c>
      <c r="B3" s="24" t="s">
        <v>220</v>
      </c>
      <c r="C3" s="24" t="s">
        <v>221</v>
      </c>
      <c r="D3" s="24" t="s">
        <v>222</v>
      </c>
      <c r="E3" s="24" t="s">
        <v>223</v>
      </c>
      <c r="F3" s="24" t="s">
        <v>224</v>
      </c>
      <c r="G3" s="24" t="s">
        <v>225</v>
      </c>
      <c r="H3" s="24" t="s">
        <v>226</v>
      </c>
      <c r="I3" s="24" t="s">
        <v>227</v>
      </c>
    </row>
    <row r="4" customFormat="false" ht="23.85" hidden="false" customHeight="false" outlineLevel="0" collapsed="false">
      <c r="A4" s="41" t="s">
        <v>114</v>
      </c>
      <c r="B4" s="25" t="s">
        <v>228</v>
      </c>
      <c r="C4" s="25" t="n">
        <v>1</v>
      </c>
      <c r="D4" s="25" t="n">
        <v>4</v>
      </c>
      <c r="E4" s="25" t="n">
        <v>2</v>
      </c>
      <c r="F4" s="25" t="s">
        <v>75</v>
      </c>
      <c r="G4" s="25" t="n">
        <v>500</v>
      </c>
      <c r="H4" s="25" t="s">
        <v>229</v>
      </c>
      <c r="I4" s="25" t="s">
        <v>230</v>
      </c>
    </row>
    <row r="5" customFormat="false" ht="23.85" hidden="false" customHeight="false" outlineLevel="0" collapsed="false">
      <c r="A5" s="36" t="s">
        <v>87</v>
      </c>
      <c r="B5" s="31" t="s">
        <v>231</v>
      </c>
      <c r="C5" s="31" t="n">
        <v>2</v>
      </c>
      <c r="D5" s="31" t="n">
        <v>8</v>
      </c>
      <c r="E5" s="31" t="n">
        <v>4</v>
      </c>
      <c r="F5" s="31" t="s">
        <v>75</v>
      </c>
      <c r="G5" s="31" t="n">
        <v>200</v>
      </c>
      <c r="H5" s="31" t="s">
        <v>232</v>
      </c>
      <c r="I5" s="31" t="s">
        <v>233</v>
      </c>
    </row>
    <row r="6" customFormat="false" ht="23.85" hidden="false" customHeight="false" outlineLevel="0" collapsed="false">
      <c r="A6" s="27" t="s">
        <v>70</v>
      </c>
      <c r="B6" s="25" t="s">
        <v>234</v>
      </c>
      <c r="C6" s="25" t="n">
        <v>4</v>
      </c>
      <c r="D6" s="25" t="n">
        <v>24</v>
      </c>
      <c r="E6" s="25" t="n">
        <v>8</v>
      </c>
      <c r="F6" s="25" t="s">
        <v>108</v>
      </c>
      <c r="G6" s="25" t="n">
        <v>50</v>
      </c>
      <c r="H6" s="25" t="s">
        <v>235</v>
      </c>
      <c r="I6" s="25" t="s">
        <v>236</v>
      </c>
    </row>
    <row r="7" customFormat="false" ht="23.85" hidden="false" customHeight="false" outlineLevel="0" collapsed="false">
      <c r="A7" s="37" t="s">
        <v>92</v>
      </c>
      <c r="B7" s="31" t="s">
        <v>237</v>
      </c>
      <c r="C7" s="31" t="n">
        <v>8</v>
      </c>
      <c r="D7" s="31" t="n">
        <v>72</v>
      </c>
      <c r="E7" s="31" t="n">
        <v>24</v>
      </c>
      <c r="F7" s="31" t="s">
        <v>108</v>
      </c>
      <c r="G7" s="31" t="n">
        <v>0</v>
      </c>
      <c r="H7" s="31" t="s">
        <v>238</v>
      </c>
      <c r="I7" s="31" t="s">
        <v>239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A6F1E"/>
    <pageSetUpPr fitToPage="false"/>
  </sheetPr>
  <dimension ref="A1:I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8"/>
  </cols>
  <sheetData>
    <row r="1" customFormat="false" ht="43.5" hidden="false" customHeight="true" outlineLevel="0" collapsed="false">
      <c r="A1" s="23" t="s">
        <v>240</v>
      </c>
      <c r="B1" s="23"/>
      <c r="C1" s="23"/>
      <c r="D1" s="23"/>
      <c r="E1" s="23"/>
      <c r="F1" s="23"/>
      <c r="G1" s="23"/>
      <c r="H1" s="23"/>
      <c r="I1" s="23"/>
    </row>
    <row r="2" customFormat="false" ht="19.5" hidden="false" customHeight="true" outlineLevel="0" collapsed="false">
      <c r="A2" s="2" t="s">
        <v>241</v>
      </c>
      <c r="B2" s="2"/>
      <c r="C2" s="2"/>
      <c r="D2" s="2"/>
      <c r="E2" s="2"/>
      <c r="F2" s="2"/>
      <c r="G2" s="2"/>
      <c r="H2" s="2"/>
      <c r="I2" s="2"/>
    </row>
    <row r="3" customFormat="false" ht="23.85" hidden="false" customHeight="false" outlineLevel="0" collapsed="false">
      <c r="A3" s="24" t="s">
        <v>242</v>
      </c>
      <c r="B3" s="24" t="s">
        <v>26</v>
      </c>
      <c r="C3" s="24" t="s">
        <v>57</v>
      </c>
      <c r="D3" s="24" t="s">
        <v>243</v>
      </c>
      <c r="E3" s="24" t="s">
        <v>244</v>
      </c>
      <c r="F3" s="24" t="s">
        <v>245</v>
      </c>
      <c r="G3" s="24" t="s">
        <v>246</v>
      </c>
      <c r="H3" s="24" t="s">
        <v>247</v>
      </c>
      <c r="I3" s="24" t="s">
        <v>248</v>
      </c>
    </row>
    <row r="4" customFormat="false" ht="15" hidden="false" customHeight="false" outlineLevel="0" collapsed="false">
      <c r="A4" s="25" t="s">
        <v>249</v>
      </c>
      <c r="B4" s="25" t="s">
        <v>32</v>
      </c>
      <c r="C4" s="25" t="s">
        <v>88</v>
      </c>
      <c r="D4" s="25" t="s">
        <v>70</v>
      </c>
      <c r="E4" s="25" t="s">
        <v>205</v>
      </c>
      <c r="F4" s="25"/>
      <c r="G4" s="25" t="n">
        <f aca="false">COUNTIFS(Tickets!G:G,B4,Tickets!H:H,C4)</f>
        <v>4</v>
      </c>
      <c r="H4" s="44" t="n">
        <f aca="false">IFERROR(G4/COUNTA(Tickets!A4:A500),0)</f>
        <v>0.0666666666666667</v>
      </c>
      <c r="I4" s="25"/>
    </row>
    <row r="5" customFormat="false" ht="15" hidden="false" customHeight="false" outlineLevel="0" collapsed="false">
      <c r="A5" s="31" t="s">
        <v>250</v>
      </c>
      <c r="B5" s="31" t="s">
        <v>32</v>
      </c>
      <c r="C5" s="31" t="s">
        <v>105</v>
      </c>
      <c r="D5" s="31" t="s">
        <v>70</v>
      </c>
      <c r="E5" s="31" t="s">
        <v>205</v>
      </c>
      <c r="F5" s="31"/>
      <c r="G5" s="31" t="n">
        <f aca="false">COUNTIFS(Tickets!G:G,B5,Tickets!H:H,C5)</f>
        <v>1</v>
      </c>
      <c r="H5" s="45" t="n">
        <f aca="false">IFERROR(G5/COUNTA(Tickets!A4:A500),0)</f>
        <v>0.0166666666666667</v>
      </c>
      <c r="I5" s="31"/>
    </row>
    <row r="6" customFormat="false" ht="15" hidden="false" customHeight="false" outlineLevel="0" collapsed="false">
      <c r="A6" s="25" t="s">
        <v>251</v>
      </c>
      <c r="B6" s="25" t="s">
        <v>32</v>
      </c>
      <c r="C6" s="25" t="s">
        <v>128</v>
      </c>
      <c r="D6" s="25" t="s">
        <v>70</v>
      </c>
      <c r="E6" s="25" t="s">
        <v>205</v>
      </c>
      <c r="F6" s="25"/>
      <c r="G6" s="25" t="n">
        <f aca="false">COUNTIFS(Tickets!G:G,B6,Tickets!H:H,C6)</f>
        <v>1</v>
      </c>
      <c r="H6" s="44" t="n">
        <f aca="false">IFERROR(G6/COUNTA(Tickets!A4:A500),0)</f>
        <v>0.0166666666666667</v>
      </c>
      <c r="I6" s="25"/>
    </row>
    <row r="7" customFormat="false" ht="15" hidden="false" customHeight="false" outlineLevel="0" collapsed="false">
      <c r="A7" s="31" t="s">
        <v>252</v>
      </c>
      <c r="B7" s="31" t="s">
        <v>32</v>
      </c>
      <c r="C7" s="31" t="s">
        <v>125</v>
      </c>
      <c r="D7" s="31" t="s">
        <v>70</v>
      </c>
      <c r="E7" s="31" t="s">
        <v>205</v>
      </c>
      <c r="F7" s="31"/>
      <c r="G7" s="31" t="n">
        <f aca="false">COUNTIFS(Tickets!G:G,B7,Tickets!H:H,C7)</f>
        <v>1</v>
      </c>
      <c r="H7" s="45" t="n">
        <f aca="false">IFERROR(G7/COUNTA(Tickets!A4:A500),0)</f>
        <v>0.0166666666666667</v>
      </c>
      <c r="I7" s="31"/>
    </row>
    <row r="8" customFormat="false" ht="15" hidden="false" customHeight="false" outlineLevel="0" collapsed="false">
      <c r="A8" s="25" t="s">
        <v>253</v>
      </c>
      <c r="B8" s="25" t="s">
        <v>32</v>
      </c>
      <c r="C8" s="25" t="s">
        <v>163</v>
      </c>
      <c r="D8" s="25" t="s">
        <v>70</v>
      </c>
      <c r="E8" s="25" t="s">
        <v>205</v>
      </c>
      <c r="F8" s="25"/>
      <c r="G8" s="25" t="n">
        <f aca="false">COUNTIFS(Tickets!G:G,B8,Tickets!H:H,C8)</f>
        <v>1</v>
      </c>
      <c r="H8" s="44" t="n">
        <f aca="false">IFERROR(G8/COUNTA(Tickets!A4:A500),0)</f>
        <v>0.0166666666666667</v>
      </c>
      <c r="I8" s="25"/>
    </row>
    <row r="9" customFormat="false" ht="15" hidden="false" customHeight="false" outlineLevel="0" collapsed="false">
      <c r="A9" s="31" t="s">
        <v>254</v>
      </c>
      <c r="B9" s="31" t="s">
        <v>35</v>
      </c>
      <c r="C9" s="31" t="s">
        <v>255</v>
      </c>
      <c r="D9" s="31" t="s">
        <v>70</v>
      </c>
      <c r="E9" s="31" t="s">
        <v>212</v>
      </c>
      <c r="F9" s="31"/>
      <c r="G9" s="31" t="n">
        <f aca="false">COUNTIFS(Tickets!G:G,B9,Tickets!H:H,C9)</f>
        <v>0</v>
      </c>
      <c r="H9" s="45" t="n">
        <f aca="false">IFERROR(G9/COUNTA(Tickets!A4:A500),0)</f>
        <v>0</v>
      </c>
      <c r="I9" s="31"/>
    </row>
    <row r="10" customFormat="false" ht="15" hidden="false" customHeight="false" outlineLevel="0" collapsed="false">
      <c r="A10" s="25" t="s">
        <v>256</v>
      </c>
      <c r="B10" s="25" t="s">
        <v>35</v>
      </c>
      <c r="C10" s="25" t="s">
        <v>77</v>
      </c>
      <c r="D10" s="25" t="s">
        <v>70</v>
      </c>
      <c r="E10" s="25" t="s">
        <v>212</v>
      </c>
      <c r="F10" s="25"/>
      <c r="G10" s="25" t="n">
        <f aca="false">COUNTIFS(Tickets!G:G,B10,Tickets!H:H,C10)</f>
        <v>3</v>
      </c>
      <c r="H10" s="44" t="n">
        <f aca="false">IFERROR(G10/COUNTA(Tickets!A4:A500),0)</f>
        <v>0.05</v>
      </c>
      <c r="I10" s="25"/>
    </row>
    <row r="11" customFormat="false" ht="15" hidden="false" customHeight="false" outlineLevel="0" collapsed="false">
      <c r="A11" s="31" t="s">
        <v>257</v>
      </c>
      <c r="B11" s="31" t="s">
        <v>35</v>
      </c>
      <c r="C11" s="31" t="s">
        <v>134</v>
      </c>
      <c r="D11" s="31" t="s">
        <v>70</v>
      </c>
      <c r="E11" s="31" t="s">
        <v>212</v>
      </c>
      <c r="F11" s="31"/>
      <c r="G11" s="31" t="n">
        <f aca="false">COUNTIFS(Tickets!G:G,B11,Tickets!H:H,C11)</f>
        <v>1</v>
      </c>
      <c r="H11" s="45" t="n">
        <f aca="false">IFERROR(G11/COUNTA(Tickets!A4:A500),0)</f>
        <v>0.0166666666666667</v>
      </c>
      <c r="I11" s="31"/>
    </row>
    <row r="12" customFormat="false" ht="15" hidden="false" customHeight="false" outlineLevel="0" collapsed="false">
      <c r="A12" s="25" t="s">
        <v>258</v>
      </c>
      <c r="B12" s="25" t="s">
        <v>35</v>
      </c>
      <c r="C12" s="25" t="s">
        <v>259</v>
      </c>
      <c r="D12" s="25" t="s">
        <v>70</v>
      </c>
      <c r="E12" s="25" t="s">
        <v>212</v>
      </c>
      <c r="F12" s="25"/>
      <c r="G12" s="25" t="n">
        <f aca="false">COUNTIFS(Tickets!G:G,B12,Tickets!H:H,C12)</f>
        <v>0</v>
      </c>
      <c r="H12" s="44" t="n">
        <f aca="false">IFERROR(G12/COUNTA(Tickets!A4:A500),0)</f>
        <v>0</v>
      </c>
      <c r="I12" s="25"/>
    </row>
    <row r="13" customFormat="false" ht="15" hidden="false" customHeight="false" outlineLevel="0" collapsed="false">
      <c r="A13" s="31" t="s">
        <v>260</v>
      </c>
      <c r="B13" s="31" t="s">
        <v>35</v>
      </c>
      <c r="C13" s="31" t="s">
        <v>152</v>
      </c>
      <c r="D13" s="31" t="s">
        <v>70</v>
      </c>
      <c r="E13" s="31" t="s">
        <v>212</v>
      </c>
      <c r="F13" s="31"/>
      <c r="G13" s="31" t="n">
        <f aca="false">COUNTIFS(Tickets!G:G,B13,Tickets!H:H,C13)</f>
        <v>2</v>
      </c>
      <c r="H13" s="45" t="n">
        <f aca="false">IFERROR(G13/COUNTA(Tickets!A4:A500),0)</f>
        <v>0.0333333333333333</v>
      </c>
      <c r="I13" s="31"/>
    </row>
    <row r="14" customFormat="false" ht="15" hidden="false" customHeight="false" outlineLevel="0" collapsed="false">
      <c r="A14" s="25" t="s">
        <v>261</v>
      </c>
      <c r="B14" s="25" t="s">
        <v>37</v>
      </c>
      <c r="C14" s="25" t="s">
        <v>140</v>
      </c>
      <c r="D14" s="25" t="s">
        <v>114</v>
      </c>
      <c r="E14" s="25" t="s">
        <v>212</v>
      </c>
      <c r="F14" s="25"/>
      <c r="G14" s="25" t="n">
        <f aca="false">COUNTIFS(Tickets!G:G,B14,Tickets!H:H,C14)</f>
        <v>4</v>
      </c>
      <c r="H14" s="44" t="n">
        <f aca="false">IFERROR(G14/COUNTA(Tickets!A4:A500),0)</f>
        <v>0.0666666666666667</v>
      </c>
      <c r="I14" s="25"/>
    </row>
    <row r="15" customFormat="false" ht="15" hidden="false" customHeight="false" outlineLevel="0" collapsed="false">
      <c r="A15" s="31" t="s">
        <v>262</v>
      </c>
      <c r="B15" s="31" t="s">
        <v>37</v>
      </c>
      <c r="C15" s="31" t="s">
        <v>115</v>
      </c>
      <c r="D15" s="31" t="s">
        <v>87</v>
      </c>
      <c r="E15" s="31" t="s">
        <v>212</v>
      </c>
      <c r="F15" s="31"/>
      <c r="G15" s="31" t="n">
        <f aca="false">COUNTIFS(Tickets!G:G,B15,Tickets!H:H,C15)</f>
        <v>1</v>
      </c>
      <c r="H15" s="45" t="n">
        <f aca="false">IFERROR(G15/COUNTA(Tickets!A4:A500),0)</f>
        <v>0.0166666666666667</v>
      </c>
      <c r="I15" s="31"/>
    </row>
    <row r="16" customFormat="false" ht="15" hidden="false" customHeight="false" outlineLevel="0" collapsed="false">
      <c r="A16" s="25" t="s">
        <v>263</v>
      </c>
      <c r="B16" s="25" t="s">
        <v>37</v>
      </c>
      <c r="C16" s="25" t="s">
        <v>93</v>
      </c>
      <c r="D16" s="25" t="s">
        <v>87</v>
      </c>
      <c r="E16" s="25" t="s">
        <v>212</v>
      </c>
      <c r="F16" s="25"/>
      <c r="G16" s="25" t="n">
        <f aca="false">COUNTIFS(Tickets!G:G,B16,Tickets!H:H,C16)</f>
        <v>3</v>
      </c>
      <c r="H16" s="44" t="n">
        <f aca="false">IFERROR(G16/COUNTA(Tickets!A4:A500),0)</f>
        <v>0.05</v>
      </c>
      <c r="I16" s="25"/>
    </row>
    <row r="17" customFormat="false" ht="15" hidden="false" customHeight="false" outlineLevel="0" collapsed="false">
      <c r="A17" s="31" t="s">
        <v>264</v>
      </c>
      <c r="B17" s="31" t="s">
        <v>37</v>
      </c>
      <c r="C17" s="31" t="s">
        <v>167</v>
      </c>
      <c r="D17" s="31" t="s">
        <v>87</v>
      </c>
      <c r="E17" s="31" t="s">
        <v>212</v>
      </c>
      <c r="F17" s="31"/>
      <c r="G17" s="31" t="n">
        <f aca="false">COUNTIFS(Tickets!G:G,B17,Tickets!H:H,C17)</f>
        <v>1</v>
      </c>
      <c r="H17" s="45" t="n">
        <f aca="false">IFERROR(G17/COUNTA(Tickets!A4:A500),0)</f>
        <v>0.0166666666666667</v>
      </c>
      <c r="I17" s="31"/>
    </row>
    <row r="18" customFormat="false" ht="15" hidden="false" customHeight="false" outlineLevel="0" collapsed="false">
      <c r="A18" s="25" t="s">
        <v>265</v>
      </c>
      <c r="B18" s="25" t="s">
        <v>37</v>
      </c>
      <c r="C18" s="25" t="s">
        <v>103</v>
      </c>
      <c r="D18" s="25" t="s">
        <v>87</v>
      </c>
      <c r="E18" s="25" t="s">
        <v>212</v>
      </c>
      <c r="F18" s="25"/>
      <c r="G18" s="25" t="n">
        <f aca="false">COUNTIFS(Tickets!G:G,B18,Tickets!H:H,C18)</f>
        <v>5</v>
      </c>
      <c r="H18" s="44" t="n">
        <f aca="false">IFERROR(G18/COUNTA(Tickets!A4:A500),0)</f>
        <v>0.0833333333333333</v>
      </c>
      <c r="I18" s="25"/>
    </row>
    <row r="19" customFormat="false" ht="15" hidden="false" customHeight="false" outlineLevel="0" collapsed="false">
      <c r="A19" s="31" t="s">
        <v>266</v>
      </c>
      <c r="B19" s="31" t="s">
        <v>40</v>
      </c>
      <c r="C19" s="31" t="s">
        <v>82</v>
      </c>
      <c r="D19" s="31" t="s">
        <v>87</v>
      </c>
      <c r="E19" s="31" t="s">
        <v>212</v>
      </c>
      <c r="F19" s="31"/>
      <c r="G19" s="31" t="n">
        <f aca="false">COUNTIFS(Tickets!G:G,B19,Tickets!H:H,C19)</f>
        <v>2</v>
      </c>
      <c r="H19" s="45" t="n">
        <f aca="false">IFERROR(G19/COUNTA(Tickets!A4:A500),0)</f>
        <v>0.0333333333333333</v>
      </c>
      <c r="I19" s="31"/>
    </row>
    <row r="20" customFormat="false" ht="15" hidden="false" customHeight="false" outlineLevel="0" collapsed="false">
      <c r="A20" s="25" t="s">
        <v>267</v>
      </c>
      <c r="B20" s="25" t="s">
        <v>40</v>
      </c>
      <c r="C20" s="25" t="s">
        <v>142</v>
      </c>
      <c r="D20" s="25" t="s">
        <v>87</v>
      </c>
      <c r="E20" s="25" t="s">
        <v>212</v>
      </c>
      <c r="F20" s="25"/>
      <c r="G20" s="25" t="n">
        <f aca="false">COUNTIFS(Tickets!G:G,B20,Tickets!H:H,C20)</f>
        <v>2</v>
      </c>
      <c r="H20" s="44" t="n">
        <f aca="false">IFERROR(G20/COUNTA(Tickets!A4:A500),0)</f>
        <v>0.0333333333333333</v>
      </c>
      <c r="I20" s="25"/>
    </row>
    <row r="21" customFormat="false" ht="15" hidden="false" customHeight="false" outlineLevel="0" collapsed="false">
      <c r="A21" s="31" t="s">
        <v>268</v>
      </c>
      <c r="B21" s="31" t="s">
        <v>40</v>
      </c>
      <c r="C21" s="31" t="s">
        <v>138</v>
      </c>
      <c r="D21" s="31" t="s">
        <v>87</v>
      </c>
      <c r="E21" s="31" t="s">
        <v>212</v>
      </c>
      <c r="F21" s="31"/>
      <c r="G21" s="31" t="n">
        <f aca="false">COUNTIFS(Tickets!G:G,B21,Tickets!H:H,C21)</f>
        <v>3</v>
      </c>
      <c r="H21" s="45" t="n">
        <f aca="false">IFERROR(G21/COUNTA(Tickets!A4:A500),0)</f>
        <v>0.05</v>
      </c>
      <c r="I21" s="31"/>
    </row>
    <row r="22" customFormat="false" ht="15" hidden="false" customHeight="false" outlineLevel="0" collapsed="false">
      <c r="A22" s="25" t="s">
        <v>269</v>
      </c>
      <c r="B22" s="25" t="s">
        <v>40</v>
      </c>
      <c r="C22" s="25" t="s">
        <v>177</v>
      </c>
      <c r="D22" s="25" t="s">
        <v>87</v>
      </c>
      <c r="E22" s="25" t="s">
        <v>212</v>
      </c>
      <c r="F22" s="25"/>
      <c r="G22" s="25" t="n">
        <f aca="false">COUNTIFS(Tickets!G:G,B22,Tickets!H:H,C22)</f>
        <v>1</v>
      </c>
      <c r="H22" s="44" t="n">
        <f aca="false">IFERROR(G22/COUNTA(Tickets!A4:A500),0)</f>
        <v>0.0166666666666667</v>
      </c>
      <c r="I22" s="25"/>
    </row>
    <row r="23" customFormat="false" ht="15" hidden="false" customHeight="false" outlineLevel="0" collapsed="false">
      <c r="A23" s="31" t="s">
        <v>270</v>
      </c>
      <c r="B23" s="31" t="s">
        <v>40</v>
      </c>
      <c r="C23" s="31" t="s">
        <v>271</v>
      </c>
      <c r="D23" s="31" t="s">
        <v>87</v>
      </c>
      <c r="E23" s="31" t="s">
        <v>212</v>
      </c>
      <c r="F23" s="31"/>
      <c r="G23" s="31" t="n">
        <f aca="false">COUNTIFS(Tickets!G:G,B23,Tickets!H:H,C23)</f>
        <v>0</v>
      </c>
      <c r="H23" s="45" t="n">
        <f aca="false">IFERROR(G23/COUNTA(Tickets!A4:A500),0)</f>
        <v>0</v>
      </c>
      <c r="I23" s="31"/>
    </row>
    <row r="24" customFormat="false" ht="15" hidden="false" customHeight="false" outlineLevel="0" collapsed="false">
      <c r="A24" s="25" t="s">
        <v>272</v>
      </c>
      <c r="B24" s="25" t="s">
        <v>43</v>
      </c>
      <c r="C24" s="25" t="s">
        <v>273</v>
      </c>
      <c r="D24" s="25" t="s">
        <v>70</v>
      </c>
      <c r="E24" s="25" t="s">
        <v>212</v>
      </c>
      <c r="F24" s="25"/>
      <c r="G24" s="25" t="n">
        <f aca="false">COUNTIFS(Tickets!G:G,B24,Tickets!H:H,C24)</f>
        <v>0</v>
      </c>
      <c r="H24" s="44" t="n">
        <f aca="false">IFERROR(G24/COUNTA(Tickets!A4:A500),0)</f>
        <v>0</v>
      </c>
      <c r="I24" s="25"/>
    </row>
    <row r="25" customFormat="false" ht="15" hidden="false" customHeight="false" outlineLevel="0" collapsed="false">
      <c r="A25" s="31" t="s">
        <v>274</v>
      </c>
      <c r="B25" s="31" t="s">
        <v>43</v>
      </c>
      <c r="C25" s="31" t="s">
        <v>110</v>
      </c>
      <c r="D25" s="31" t="s">
        <v>70</v>
      </c>
      <c r="E25" s="31" t="s">
        <v>212</v>
      </c>
      <c r="F25" s="31"/>
      <c r="G25" s="31" t="n">
        <f aca="false">COUNTIFS(Tickets!G:G,B25,Tickets!H:H,C25)</f>
        <v>2</v>
      </c>
      <c r="H25" s="45" t="n">
        <f aca="false">IFERROR(G25/COUNTA(Tickets!A4:A500),0)</f>
        <v>0.0333333333333333</v>
      </c>
      <c r="I25" s="31"/>
    </row>
    <row r="26" customFormat="false" ht="15" hidden="false" customHeight="false" outlineLevel="0" collapsed="false">
      <c r="A26" s="25" t="s">
        <v>275</v>
      </c>
      <c r="B26" s="25" t="s">
        <v>43</v>
      </c>
      <c r="C26" s="25" t="s">
        <v>136</v>
      </c>
      <c r="D26" s="25" t="s">
        <v>70</v>
      </c>
      <c r="E26" s="25" t="s">
        <v>212</v>
      </c>
      <c r="F26" s="25"/>
      <c r="G26" s="25" t="n">
        <f aca="false">COUNTIFS(Tickets!G:G,B26,Tickets!H:H,C26)</f>
        <v>3</v>
      </c>
      <c r="H26" s="44" t="n">
        <f aca="false">IFERROR(G26/COUNTA(Tickets!A4:A500),0)</f>
        <v>0.05</v>
      </c>
      <c r="I26" s="25"/>
    </row>
    <row r="27" customFormat="false" ht="15" hidden="false" customHeight="false" outlineLevel="0" collapsed="false">
      <c r="A27" s="31" t="s">
        <v>276</v>
      </c>
      <c r="B27" s="31" t="s">
        <v>43</v>
      </c>
      <c r="C27" s="31" t="s">
        <v>169</v>
      </c>
      <c r="D27" s="31" t="s">
        <v>70</v>
      </c>
      <c r="E27" s="31" t="s">
        <v>212</v>
      </c>
      <c r="F27" s="31"/>
      <c r="G27" s="31" t="n">
        <f aca="false">COUNTIFS(Tickets!G:G,B27,Tickets!H:H,C27)</f>
        <v>2</v>
      </c>
      <c r="H27" s="45" t="n">
        <f aca="false">IFERROR(G27/COUNTA(Tickets!A4:A500),0)</f>
        <v>0.0333333333333333</v>
      </c>
      <c r="I27" s="31"/>
    </row>
    <row r="28" customFormat="false" ht="15" hidden="false" customHeight="false" outlineLevel="0" collapsed="false">
      <c r="A28" s="25" t="s">
        <v>277</v>
      </c>
      <c r="B28" s="25" t="s">
        <v>43</v>
      </c>
      <c r="C28" s="25" t="s">
        <v>278</v>
      </c>
      <c r="D28" s="25" t="s">
        <v>70</v>
      </c>
      <c r="E28" s="25" t="s">
        <v>212</v>
      </c>
      <c r="F28" s="25"/>
      <c r="G28" s="25" t="n">
        <f aca="false">COUNTIFS(Tickets!G:G,B28,Tickets!H:H,C28)</f>
        <v>0</v>
      </c>
      <c r="H28" s="44" t="n">
        <f aca="false">IFERROR(G28/COUNTA(Tickets!A4:A500),0)</f>
        <v>0</v>
      </c>
      <c r="I28" s="25"/>
    </row>
    <row r="29" customFormat="false" ht="15" hidden="false" customHeight="false" outlineLevel="0" collapsed="false">
      <c r="A29" s="31" t="s">
        <v>279</v>
      </c>
      <c r="B29" s="31" t="s">
        <v>46</v>
      </c>
      <c r="C29" s="31" t="s">
        <v>132</v>
      </c>
      <c r="D29" s="31" t="s">
        <v>70</v>
      </c>
      <c r="E29" s="31" t="s">
        <v>205</v>
      </c>
      <c r="F29" s="31"/>
      <c r="G29" s="31" t="n">
        <f aca="false">COUNTIFS(Tickets!G:G,B29,Tickets!H:H,C29)</f>
        <v>2</v>
      </c>
      <c r="H29" s="45" t="n">
        <f aca="false">IFERROR(G29/COUNTA(Tickets!A4:A500),0)</f>
        <v>0.0333333333333333</v>
      </c>
      <c r="I29" s="31"/>
    </row>
    <row r="30" customFormat="false" ht="15" hidden="false" customHeight="false" outlineLevel="0" collapsed="false">
      <c r="A30" s="25" t="s">
        <v>280</v>
      </c>
      <c r="B30" s="25" t="s">
        <v>46</v>
      </c>
      <c r="C30" s="25" t="s">
        <v>281</v>
      </c>
      <c r="D30" s="25" t="s">
        <v>70</v>
      </c>
      <c r="E30" s="25" t="s">
        <v>205</v>
      </c>
      <c r="F30" s="25"/>
      <c r="G30" s="25" t="n">
        <f aca="false">COUNTIFS(Tickets!G:G,B30,Tickets!H:H,C30)</f>
        <v>0</v>
      </c>
      <c r="H30" s="44" t="n">
        <f aca="false">IFERROR(G30/COUNTA(Tickets!A4:A500),0)</f>
        <v>0</v>
      </c>
      <c r="I30" s="25"/>
    </row>
    <row r="31" customFormat="false" ht="15" hidden="false" customHeight="false" outlineLevel="0" collapsed="false">
      <c r="A31" s="31" t="s">
        <v>282</v>
      </c>
      <c r="B31" s="31" t="s">
        <v>46</v>
      </c>
      <c r="C31" s="31" t="s">
        <v>118</v>
      </c>
      <c r="D31" s="31" t="s">
        <v>70</v>
      </c>
      <c r="E31" s="31" t="s">
        <v>205</v>
      </c>
      <c r="F31" s="31"/>
      <c r="G31" s="31" t="n">
        <f aca="false">COUNTIFS(Tickets!G:G,B31,Tickets!H:H,C31)</f>
        <v>1</v>
      </c>
      <c r="H31" s="45" t="n">
        <f aca="false">IFERROR(G31/COUNTA(Tickets!A4:A500),0)</f>
        <v>0.0166666666666667</v>
      </c>
      <c r="I31" s="31"/>
    </row>
    <row r="32" customFormat="false" ht="15" hidden="false" customHeight="false" outlineLevel="0" collapsed="false">
      <c r="A32" s="25" t="s">
        <v>283</v>
      </c>
      <c r="B32" s="25" t="s">
        <v>46</v>
      </c>
      <c r="C32" s="25" t="s">
        <v>150</v>
      </c>
      <c r="D32" s="25" t="s">
        <v>70</v>
      </c>
      <c r="E32" s="25" t="s">
        <v>205</v>
      </c>
      <c r="F32" s="25"/>
      <c r="G32" s="25" t="n">
        <f aca="false">COUNTIFS(Tickets!G:G,B32,Tickets!H:H,C32)</f>
        <v>2</v>
      </c>
      <c r="H32" s="44" t="n">
        <f aca="false">IFERROR(G32/COUNTA(Tickets!A4:A500),0)</f>
        <v>0.0333333333333333</v>
      </c>
      <c r="I32" s="25"/>
    </row>
    <row r="33" customFormat="false" ht="15" hidden="false" customHeight="false" outlineLevel="0" collapsed="false">
      <c r="A33" s="31" t="s">
        <v>284</v>
      </c>
      <c r="B33" s="31" t="s">
        <v>46</v>
      </c>
      <c r="C33" s="31" t="s">
        <v>97</v>
      </c>
      <c r="D33" s="31" t="s">
        <v>70</v>
      </c>
      <c r="E33" s="31" t="s">
        <v>205</v>
      </c>
      <c r="F33" s="31"/>
      <c r="G33" s="31" t="n">
        <f aca="false">COUNTIFS(Tickets!G:G,B33,Tickets!H:H,C33)</f>
        <v>2</v>
      </c>
      <c r="H33" s="45" t="n">
        <f aca="false">IFERROR(G33/COUNTA(Tickets!A4:A500),0)</f>
        <v>0.0333333333333333</v>
      </c>
      <c r="I33" s="31"/>
    </row>
    <row r="34" customFormat="false" ht="15" hidden="false" customHeight="false" outlineLevel="0" collapsed="false">
      <c r="A34" s="25" t="s">
        <v>285</v>
      </c>
      <c r="B34" s="25" t="s">
        <v>47</v>
      </c>
      <c r="C34" s="25" t="s">
        <v>286</v>
      </c>
      <c r="D34" s="25" t="s">
        <v>70</v>
      </c>
      <c r="E34" s="25" t="s">
        <v>205</v>
      </c>
      <c r="F34" s="25"/>
      <c r="G34" s="25" t="n">
        <f aca="false">COUNTIFS(Tickets!G:G,B34,Tickets!H:H,C34)</f>
        <v>0</v>
      </c>
      <c r="H34" s="44" t="n">
        <f aca="false">IFERROR(G34/COUNTA(Tickets!A4:A500),0)</f>
        <v>0</v>
      </c>
      <c r="I34" s="25"/>
    </row>
    <row r="35" customFormat="false" ht="15" hidden="false" customHeight="false" outlineLevel="0" collapsed="false">
      <c r="A35" s="31" t="s">
        <v>287</v>
      </c>
      <c r="B35" s="31" t="s">
        <v>47</v>
      </c>
      <c r="C35" s="31" t="s">
        <v>288</v>
      </c>
      <c r="D35" s="31" t="s">
        <v>70</v>
      </c>
      <c r="E35" s="31" t="s">
        <v>205</v>
      </c>
      <c r="F35" s="31"/>
      <c r="G35" s="31" t="n">
        <f aca="false">COUNTIFS(Tickets!G:G,B35,Tickets!H:H,C35)</f>
        <v>0</v>
      </c>
      <c r="H35" s="45" t="n">
        <f aca="false">IFERROR(G35/COUNTA(Tickets!A4:A500),0)</f>
        <v>0</v>
      </c>
      <c r="I35" s="31"/>
    </row>
    <row r="36" customFormat="false" ht="15" hidden="false" customHeight="false" outlineLevel="0" collapsed="false">
      <c r="A36" s="25" t="s">
        <v>289</v>
      </c>
      <c r="B36" s="25" t="s">
        <v>47</v>
      </c>
      <c r="C36" s="25" t="s">
        <v>130</v>
      </c>
      <c r="D36" s="25" t="s">
        <v>70</v>
      </c>
      <c r="E36" s="25" t="s">
        <v>205</v>
      </c>
      <c r="F36" s="25"/>
      <c r="G36" s="25" t="n">
        <f aca="false">COUNTIFS(Tickets!G:G,B36,Tickets!H:H,C36)</f>
        <v>2</v>
      </c>
      <c r="H36" s="44" t="n">
        <f aca="false">IFERROR(G36/COUNTA(Tickets!A4:A500),0)</f>
        <v>0.0333333333333333</v>
      </c>
      <c r="I36" s="25"/>
    </row>
    <row r="37" customFormat="false" ht="15" hidden="false" customHeight="false" outlineLevel="0" collapsed="false">
      <c r="A37" s="31" t="s">
        <v>290</v>
      </c>
      <c r="B37" s="31" t="s">
        <v>47</v>
      </c>
      <c r="C37" s="31" t="s">
        <v>160</v>
      </c>
      <c r="D37" s="31" t="s">
        <v>70</v>
      </c>
      <c r="E37" s="31" t="s">
        <v>205</v>
      </c>
      <c r="F37" s="31"/>
      <c r="G37" s="31" t="n">
        <f aca="false">COUNTIFS(Tickets!G:G,B37,Tickets!H:H,C37)</f>
        <v>1</v>
      </c>
      <c r="H37" s="45" t="n">
        <f aca="false">IFERROR(G37/COUNTA(Tickets!A4:A500),0)</f>
        <v>0.0166666666666667</v>
      </c>
      <c r="I37" s="31"/>
    </row>
    <row r="38" customFormat="false" ht="15" hidden="false" customHeight="false" outlineLevel="0" collapsed="false">
      <c r="A38" s="25" t="s">
        <v>291</v>
      </c>
      <c r="B38" s="25" t="s">
        <v>47</v>
      </c>
      <c r="C38" s="25" t="s">
        <v>171</v>
      </c>
      <c r="D38" s="25" t="s">
        <v>70</v>
      </c>
      <c r="E38" s="25" t="s">
        <v>205</v>
      </c>
      <c r="F38" s="25"/>
      <c r="G38" s="25" t="n">
        <f aca="false">COUNTIFS(Tickets!G:G,B38,Tickets!H:H,C38)</f>
        <v>1</v>
      </c>
      <c r="H38" s="44" t="n">
        <f aca="false">IFERROR(G38/COUNTA(Tickets!A4:A500),0)</f>
        <v>0.0166666666666667</v>
      </c>
      <c r="I38" s="25"/>
    </row>
    <row r="39" customFormat="false" ht="15" hidden="false" customHeight="false" outlineLevel="0" collapsed="false">
      <c r="A39" s="31" t="s">
        <v>292</v>
      </c>
      <c r="B39" s="31" t="s">
        <v>48</v>
      </c>
      <c r="C39" s="31" t="s">
        <v>293</v>
      </c>
      <c r="D39" s="31" t="s">
        <v>70</v>
      </c>
      <c r="E39" s="31" t="s">
        <v>212</v>
      </c>
      <c r="F39" s="31"/>
      <c r="G39" s="31" t="n">
        <f aca="false">COUNTIFS(Tickets!G:G,B39,Tickets!H:H,C39)</f>
        <v>0</v>
      </c>
      <c r="H39" s="45" t="n">
        <f aca="false">IFERROR(G39/COUNTA(Tickets!A4:A500),0)</f>
        <v>0</v>
      </c>
      <c r="I39" s="31"/>
    </row>
    <row r="40" customFormat="false" ht="15" hidden="false" customHeight="false" outlineLevel="0" collapsed="false">
      <c r="A40" s="25" t="s">
        <v>294</v>
      </c>
      <c r="B40" s="25" t="s">
        <v>48</v>
      </c>
      <c r="C40" s="25" t="s">
        <v>71</v>
      </c>
      <c r="D40" s="25" t="s">
        <v>70</v>
      </c>
      <c r="E40" s="25" t="s">
        <v>212</v>
      </c>
      <c r="F40" s="25"/>
      <c r="G40" s="25" t="n">
        <f aca="false">COUNTIFS(Tickets!G:G,B40,Tickets!H:H,C40)</f>
        <v>3</v>
      </c>
      <c r="H40" s="44" t="n">
        <f aca="false">IFERROR(G40/COUNTA(Tickets!A4:A500),0)</f>
        <v>0.05</v>
      </c>
      <c r="I40" s="25"/>
    </row>
    <row r="41" customFormat="false" ht="15" hidden="false" customHeight="false" outlineLevel="0" collapsed="false">
      <c r="A41" s="31" t="s">
        <v>295</v>
      </c>
      <c r="B41" s="31" t="s">
        <v>48</v>
      </c>
      <c r="C41" s="31" t="s">
        <v>185</v>
      </c>
      <c r="D41" s="31" t="s">
        <v>70</v>
      </c>
      <c r="E41" s="31" t="s">
        <v>212</v>
      </c>
      <c r="F41" s="31"/>
      <c r="G41" s="31" t="n">
        <f aca="false">COUNTIFS(Tickets!G:G,B41,Tickets!H:H,C41)</f>
        <v>1</v>
      </c>
      <c r="H41" s="45" t="n">
        <f aca="false">IFERROR(G41/COUNTA(Tickets!A4:A500),0)</f>
        <v>0.0166666666666667</v>
      </c>
      <c r="I41" s="31"/>
    </row>
    <row r="42" customFormat="false" ht="15" hidden="false" customHeight="false" outlineLevel="0" collapsed="false">
      <c r="A42" s="25" t="s">
        <v>296</v>
      </c>
      <c r="B42" s="25" t="s">
        <v>48</v>
      </c>
      <c r="C42" s="25" t="s">
        <v>297</v>
      </c>
      <c r="D42" s="25" t="s">
        <v>70</v>
      </c>
      <c r="E42" s="25" t="s">
        <v>212</v>
      </c>
      <c r="F42" s="25"/>
      <c r="G42" s="25" t="n">
        <f aca="false">COUNTIFS(Tickets!G:G,B42,Tickets!H:H,C42)</f>
        <v>0</v>
      </c>
      <c r="H42" s="44" t="n">
        <f aca="false">IFERROR(G42/COUNTA(Tickets!A4:A500),0)</f>
        <v>0</v>
      </c>
      <c r="I42" s="25"/>
    </row>
    <row r="43" customFormat="false" ht="15" hidden="false" customHeight="false" outlineLevel="0" collapsed="false">
      <c r="A43" s="31" t="s">
        <v>298</v>
      </c>
      <c r="B43" s="31" t="s">
        <v>48</v>
      </c>
      <c r="C43" s="31" t="s">
        <v>120</v>
      </c>
      <c r="D43" s="31" t="s">
        <v>70</v>
      </c>
      <c r="E43" s="31" t="s">
        <v>212</v>
      </c>
      <c r="F43" s="31"/>
      <c r="G43" s="31" t="n">
        <f aca="false">COUNTIFS(Tickets!G:G,B43,Tickets!H:H,C43)</f>
        <v>2</v>
      </c>
      <c r="H43" s="45" t="n">
        <f aca="false">IFERROR(G43/COUNTA(Tickets!A4:A500),0)</f>
        <v>0.0333333333333333</v>
      </c>
      <c r="I43" s="31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F8A"/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68"/>
    <col collapsed="false" customWidth="true" hidden="false" outlineLevel="0" max="4" min="4" style="0" width="10"/>
    <col collapsed="false" customWidth="true" hidden="false" outlineLevel="0" max="8" min="5" style="0" width="14"/>
  </cols>
  <sheetData>
    <row r="1" customFormat="false" ht="43.5" hidden="false" customHeight="true" outlineLevel="0" collapsed="false">
      <c r="A1" s="23" t="s">
        <v>299</v>
      </c>
      <c r="B1" s="23"/>
      <c r="C1" s="23"/>
      <c r="D1" s="23"/>
      <c r="E1" s="23"/>
      <c r="F1" s="23"/>
      <c r="G1" s="23"/>
      <c r="H1" s="23"/>
    </row>
    <row r="2" customFormat="false" ht="19.5" hidden="false" customHeight="true" outlineLevel="0" collapsed="false">
      <c r="A2" s="2" t="s">
        <v>300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46" t="s">
        <v>301</v>
      </c>
      <c r="B3" s="46" t="s">
        <v>302</v>
      </c>
      <c r="C3" s="46" t="s">
        <v>303</v>
      </c>
      <c r="D3" s="46" t="s">
        <v>304</v>
      </c>
      <c r="E3" s="46"/>
      <c r="F3" s="46"/>
      <c r="G3" s="46"/>
      <c r="H3" s="46"/>
    </row>
    <row r="4" customFormat="false" ht="25.5" hidden="false" customHeight="true" outlineLevel="0" collapsed="false">
      <c r="A4" s="47" t="s">
        <v>305</v>
      </c>
      <c r="B4" s="47"/>
      <c r="C4" s="47"/>
      <c r="D4" s="47"/>
      <c r="E4" s="47"/>
      <c r="F4" s="47"/>
      <c r="G4" s="47"/>
      <c r="H4" s="47"/>
    </row>
    <row r="5" customFormat="false" ht="24" hidden="false" customHeight="true" outlineLevel="0" collapsed="false">
      <c r="A5" s="48" t="s">
        <v>306</v>
      </c>
      <c r="B5" s="49" t="n">
        <f aca="false">COUNTA(Tickets!A4:A500)-COUNTBLANK(Tickets!A4:A500)</f>
        <v>-377</v>
      </c>
      <c r="C5" s="50" t="n">
        <f aca="false">COUNTA(Tickets!A4:A500)-COUNTBLANK(Tickets!A4:A500)</f>
        <v>-377</v>
      </c>
      <c r="D5" s="51" t="s">
        <v>307</v>
      </c>
      <c r="E5" s="51"/>
      <c r="F5" s="51"/>
      <c r="G5" s="51"/>
      <c r="H5" s="51"/>
    </row>
    <row r="6" customFormat="false" ht="24" hidden="false" customHeight="true" outlineLevel="0" collapsed="false">
      <c r="A6" s="48" t="s">
        <v>308</v>
      </c>
      <c r="B6" s="49" t="n">
        <f aca="false">COUNTIF(Tickets!I:I,"Open")</f>
        <v>7</v>
      </c>
      <c r="C6" s="50" t="n">
        <f aca="false">COUNTIF(Tickets!I:I,"Open")</f>
        <v>7</v>
      </c>
      <c r="D6" s="51" t="s">
        <v>309</v>
      </c>
      <c r="E6" s="51"/>
      <c r="F6" s="51"/>
      <c r="G6" s="51"/>
      <c r="H6" s="51"/>
    </row>
    <row r="7" customFormat="false" ht="24" hidden="false" customHeight="true" outlineLevel="0" collapsed="false">
      <c r="A7" s="48" t="s">
        <v>310</v>
      </c>
      <c r="B7" s="49" t="n">
        <f aca="false">COUNTIF(Tickets!I:I,"In Progress")</f>
        <v>12</v>
      </c>
      <c r="C7" s="50" t="n">
        <f aca="false">COUNTIF(Tickets!I:I,"In Progress")</f>
        <v>12</v>
      </c>
      <c r="D7" s="51" t="s">
        <v>311</v>
      </c>
      <c r="E7" s="51"/>
      <c r="F7" s="51"/>
      <c r="G7" s="51"/>
      <c r="H7" s="51"/>
    </row>
    <row r="8" customFormat="false" ht="24" hidden="false" customHeight="true" outlineLevel="0" collapsed="false">
      <c r="A8" s="48" t="s">
        <v>312</v>
      </c>
      <c r="B8" s="49" t="n">
        <f aca="false">COUNTIF(Tickets!I:I,"Resolved")</f>
        <v>15</v>
      </c>
      <c r="C8" s="50" t="n">
        <f aca="false">COUNTIF(Tickets!I:I,"Resolved")</f>
        <v>15</v>
      </c>
      <c r="D8" s="51" t="s">
        <v>313</v>
      </c>
      <c r="E8" s="51"/>
      <c r="F8" s="51"/>
      <c r="G8" s="51"/>
      <c r="H8" s="51"/>
    </row>
    <row r="9" customFormat="false" ht="24" hidden="false" customHeight="true" outlineLevel="0" collapsed="false">
      <c r="A9" s="48" t="s">
        <v>314</v>
      </c>
      <c r="B9" s="49" t="n">
        <f aca="false">COUNTIF(Tickets!I:I,"Closed")</f>
        <v>21</v>
      </c>
      <c r="C9" s="50" t="n">
        <f aca="false">COUNTIF(Tickets!I:I,"Closed")</f>
        <v>21</v>
      </c>
      <c r="D9" s="51" t="s">
        <v>315</v>
      </c>
      <c r="E9" s="51"/>
      <c r="F9" s="51"/>
      <c r="G9" s="51"/>
      <c r="H9" s="51"/>
    </row>
    <row r="10" customFormat="false" ht="24" hidden="false" customHeight="true" outlineLevel="0" collapsed="false">
      <c r="A10" s="48" t="s">
        <v>316</v>
      </c>
      <c r="B10" s="49" t="n">
        <f aca="false">COUNTIF(Tickets!I:I,"Reopened")</f>
        <v>3</v>
      </c>
      <c r="C10" s="50" t="n">
        <f aca="false">COUNTIF(Tickets!I:I,"Reopened")</f>
        <v>3</v>
      </c>
      <c r="D10" s="51" t="s">
        <v>317</v>
      </c>
      <c r="E10" s="51"/>
      <c r="F10" s="51"/>
      <c r="G10" s="51"/>
      <c r="H10" s="51"/>
    </row>
    <row r="11" customFormat="false" ht="24" hidden="false" customHeight="true" outlineLevel="0" collapsed="false">
      <c r="A11" s="48" t="s">
        <v>318</v>
      </c>
      <c r="B11" s="49" t="n">
        <f aca="false">COUNTIF(Tickets!I:I,"Pending User")</f>
        <v>2</v>
      </c>
      <c r="C11" s="50" t="n">
        <f aca="false">COUNTIF(Tickets!I:I,"Pending User")</f>
        <v>2</v>
      </c>
      <c r="D11" s="51" t="s">
        <v>319</v>
      </c>
      <c r="E11" s="51"/>
      <c r="F11" s="51"/>
      <c r="G11" s="51"/>
      <c r="H11" s="51"/>
    </row>
    <row r="12" customFormat="false" ht="24" hidden="false" customHeight="true" outlineLevel="0" collapsed="false">
      <c r="A12" s="48" t="s">
        <v>320</v>
      </c>
      <c r="B12" s="49" t="n">
        <f aca="false">COUNTIF(Tickets!I:I,"Open")+COUNTIF(Tickets!I:I,"In Progress")</f>
        <v>19</v>
      </c>
      <c r="C12" s="50" t="n">
        <f aca="false">COUNTIF(Tickets!I:I,"Open")+COUNTIF(Tickets!I:I,"In Progress")</f>
        <v>19</v>
      </c>
      <c r="D12" s="51" t="s">
        <v>321</v>
      </c>
      <c r="E12" s="51"/>
      <c r="F12" s="51"/>
      <c r="G12" s="51"/>
      <c r="H12" s="51"/>
    </row>
    <row r="13" customFormat="false" ht="24" hidden="false" customHeight="true" outlineLevel="0" collapsed="false">
      <c r="A13" s="48" t="s">
        <v>322</v>
      </c>
      <c r="B13" s="49" t="n">
        <f aca="false">IFERROR((COUNTIF(Tickets!I:I,"Open")+COUNTIF(Tickets!I:I,"In Progress"))/MAX(COUNTA(Tickets!A4:A500)-COUNTBLANK(Tickets!A4:A500),1),0)</f>
        <v>19</v>
      </c>
      <c r="C13" s="50" t="n">
        <f aca="false">IFERROR((COUNTIF(Tickets!I:I,"Open")+COUNTIF(Tickets!I:I,"In Progress"))/MAX(COUNTA(Tickets!A4:A500)-COUNTBLANK(Tickets!A4:A500),1),0)</f>
        <v>19</v>
      </c>
      <c r="D13" s="51" t="s">
        <v>323</v>
      </c>
      <c r="E13" s="51"/>
      <c r="F13" s="51"/>
      <c r="G13" s="51"/>
      <c r="H13" s="51"/>
    </row>
    <row r="14" customFormat="false" ht="24" hidden="false" customHeight="true" outlineLevel="0" collapsed="false">
      <c r="A14" s="48" t="s">
        <v>324</v>
      </c>
      <c r="B14" s="49" t="n">
        <f aca="false">IFERROR(COUNTIF(Tickets!I:I,"Reopened")/MAX(COUNTA(Tickets!A4:A500)-COUNTBLANK(Tickets!A4:A500),1),0)</f>
        <v>3</v>
      </c>
      <c r="C14" s="50" t="n">
        <f aca="false">IFERROR(COUNTIF(Tickets!I:I,"Reopened")/MAX(COUNTA(Tickets!A4:A500)-COUNTBLANK(Tickets!A4:A500),1),0)</f>
        <v>3</v>
      </c>
      <c r="D14" s="51" t="s">
        <v>325</v>
      </c>
      <c r="E14" s="51"/>
      <c r="F14" s="51"/>
      <c r="G14" s="51"/>
      <c r="H14" s="51"/>
    </row>
    <row r="16" customFormat="false" ht="25.5" hidden="false" customHeight="true" outlineLevel="0" collapsed="false">
      <c r="A16" s="52" t="s">
        <v>326</v>
      </c>
      <c r="B16" s="52"/>
      <c r="C16" s="52"/>
      <c r="D16" s="52"/>
      <c r="E16" s="52"/>
      <c r="F16" s="52"/>
      <c r="G16" s="52"/>
      <c r="H16" s="52"/>
    </row>
    <row r="17" customFormat="false" ht="24" hidden="false" customHeight="true" outlineLevel="0" collapsed="false">
      <c r="A17" s="48" t="s">
        <v>327</v>
      </c>
      <c r="B17" s="53" t="n">
        <f aca="false">IFERROR(AVERAGEIF(Tickets!O:O,"&lt;&gt;",Tickets!O:O),0)</f>
        <v>25.1565</v>
      </c>
      <c r="C17" s="50" t="n">
        <f aca="false">IFERROR(AVERAGEIF(Tickets!O:O,"&lt;&gt;",Tickets!O:O),0)</f>
        <v>25.1565</v>
      </c>
      <c r="D17" s="51" t="s">
        <v>328</v>
      </c>
      <c r="E17" s="51"/>
      <c r="F17" s="51"/>
      <c r="G17" s="51"/>
      <c r="H17" s="51"/>
    </row>
    <row r="18" customFormat="false" ht="24" hidden="false" customHeight="true" outlineLevel="0" collapsed="false">
      <c r="A18" s="48" t="s">
        <v>200</v>
      </c>
      <c r="B18" s="53" t="n">
        <f aca="false">IFERROR(AVERAGEIF(Tickets!P:P,"&lt;&gt;",Tickets!P:P),0)</f>
        <v>44.2283333333333</v>
      </c>
      <c r="C18" s="50" t="n">
        <f aca="false">IFERROR(AVERAGEIF(Tickets!P:P,"&lt;&gt;",Tickets!P:P),0)</f>
        <v>44.2283333333333</v>
      </c>
      <c r="D18" s="51" t="s">
        <v>329</v>
      </c>
      <c r="E18" s="51"/>
      <c r="F18" s="51"/>
      <c r="G18" s="51"/>
      <c r="H18" s="51"/>
    </row>
    <row r="19" customFormat="false" ht="24" hidden="false" customHeight="true" outlineLevel="0" collapsed="false">
      <c r="A19" s="48" t="s">
        <v>330</v>
      </c>
      <c r="B19" s="53" t="n">
        <f aca="false">COUNTIF(Tickets!Q:Q,"Yes")</f>
        <v>30</v>
      </c>
      <c r="C19" s="50" t="n">
        <f aca="false">COUNTIF(Tickets!Q:Q,"Yes")</f>
        <v>30</v>
      </c>
      <c r="D19" s="51" t="s">
        <v>331</v>
      </c>
      <c r="E19" s="51"/>
      <c r="F19" s="51"/>
      <c r="G19" s="51"/>
      <c r="H19" s="51"/>
    </row>
    <row r="20" customFormat="false" ht="24" hidden="false" customHeight="true" outlineLevel="0" collapsed="false">
      <c r="A20" s="48" t="s">
        <v>332</v>
      </c>
      <c r="B20" s="53" t="n">
        <f aca="false">IFERROR(COUNTIF(Tickets!Q:Q,"No")/MAX(COUNTA(Tickets!A4:A500)-COUNTBLANK(Tickets!A4:A500),1),0)</f>
        <v>30</v>
      </c>
      <c r="C20" s="50" t="n">
        <f aca="false">IFERROR(COUNTIF(Tickets!Q:Q,"No")/MAX(COUNTA(Tickets!A4:A500)-COUNTBLANK(Tickets!A4:A500),1),0)</f>
        <v>30</v>
      </c>
      <c r="D20" s="51" t="s">
        <v>333</v>
      </c>
      <c r="E20" s="51"/>
      <c r="F20" s="51"/>
      <c r="G20" s="51"/>
      <c r="H20" s="51"/>
    </row>
    <row r="21" customFormat="false" ht="24" hidden="false" customHeight="true" outlineLevel="0" collapsed="false">
      <c r="A21" s="48" t="s">
        <v>334</v>
      </c>
      <c r="B21" s="53" t="n">
        <f aca="false">IFERROR(COUNTIFS(Tickets!F:F,"P1 - Critical",Tickets!Q:Q,"No")/MAX(COUNTIF(Tickets!F:F,"P1 - Critical"),1),0)</f>
        <v>0.333333333333333</v>
      </c>
      <c r="C21" s="50" t="n">
        <f aca="false">IFERROR(COUNTIFS(Tickets!F:F,"P1 - Critical",Tickets!Q:Q,"No")/MAX(COUNTIF(Tickets!F:F,"P1 - Critical"),1),0)</f>
        <v>0.333333333333333</v>
      </c>
      <c r="D21" s="51" t="s">
        <v>335</v>
      </c>
      <c r="E21" s="51"/>
      <c r="F21" s="51"/>
      <c r="G21" s="51"/>
      <c r="H21" s="51"/>
    </row>
    <row r="22" customFormat="false" ht="24" hidden="false" customHeight="true" outlineLevel="0" collapsed="false">
      <c r="A22" s="48" t="s">
        <v>336</v>
      </c>
      <c r="B22" s="53" t="n">
        <f aca="false">IFERROR(COUNTIFS(Tickets!F:F,"P2 - High",Tickets!Q:Q,"No")/MAX(COUNTIF(Tickets!F:F,"P2 - High"),1),0)</f>
        <v>0.538461538461538</v>
      </c>
      <c r="C22" s="50" t="n">
        <f aca="false">IFERROR(COUNTIFS(Tickets!F:F,"P2 - High",Tickets!Q:Q,"No")/MAX(COUNTIF(Tickets!F:F,"P2 - High"),1),0)</f>
        <v>0.538461538461538</v>
      </c>
      <c r="D22" s="51" t="s">
        <v>337</v>
      </c>
      <c r="E22" s="51"/>
      <c r="F22" s="51"/>
      <c r="G22" s="51"/>
      <c r="H22" s="51"/>
    </row>
    <row r="23" customFormat="false" ht="24" hidden="false" customHeight="true" outlineLevel="0" collapsed="false">
      <c r="A23" s="48" t="s">
        <v>338</v>
      </c>
      <c r="B23" s="53" t="n">
        <f aca="false">IFERROR(COUNTIFS(Tickets!F:F,"P3 - Medium",Tickets!Q:Q,"No")/MAX(COUNTIF(Tickets!F:F,"P3 - Medium"),1),0)</f>
        <v>0.466666666666667</v>
      </c>
      <c r="C23" s="50" t="n">
        <f aca="false">IFERROR(COUNTIFS(Tickets!F:F,"P3 - Medium",Tickets!Q:Q,"No")/MAX(COUNTIF(Tickets!F:F,"P3 - Medium"),1),0)</f>
        <v>0.466666666666667</v>
      </c>
      <c r="D23" s="51" t="s">
        <v>339</v>
      </c>
      <c r="E23" s="51"/>
      <c r="F23" s="51"/>
      <c r="G23" s="51"/>
      <c r="H23" s="51"/>
    </row>
    <row r="24" customFormat="false" ht="24" hidden="false" customHeight="true" outlineLevel="0" collapsed="false">
      <c r="A24" s="48" t="s">
        <v>340</v>
      </c>
      <c r="B24" s="53" t="n">
        <f aca="false">IFERROR(AVERAGEIFS(Tickets!O:O,Tickets!F:F,"P1 - Critical",Tickets!O:O,"&lt;&gt;"),0)</f>
        <v>3.98666666666667</v>
      </c>
      <c r="C24" s="50" t="n">
        <f aca="false">IFERROR(AVERAGEIFS(Tickets!O:O,Tickets!F:F,"P1 - Critical",Tickets!O:O,"&lt;&gt;"),0)</f>
        <v>3.98666666666667</v>
      </c>
      <c r="D24" s="51" t="s">
        <v>341</v>
      </c>
      <c r="E24" s="51"/>
      <c r="F24" s="51"/>
      <c r="G24" s="51"/>
      <c r="H24" s="51"/>
    </row>
    <row r="25" customFormat="false" ht="24" hidden="false" customHeight="true" outlineLevel="0" collapsed="false">
      <c r="A25" s="48" t="s">
        <v>342</v>
      </c>
      <c r="B25" s="53" t="n">
        <f aca="false">IFERROR(AVERAGEIFS(Tickets!O:O,Tickets!F:F,"P2 - High",Tickets!O:O,"&lt;&gt;"),0)</f>
        <v>7.52384615384615</v>
      </c>
      <c r="C25" s="50" t="n">
        <f aca="false">IFERROR(AVERAGEIFS(Tickets!O:O,Tickets!F:F,"P2 - High",Tickets!O:O,"&lt;&gt;"),0)</f>
        <v>7.52384615384615</v>
      </c>
      <c r="D25" s="51" t="s">
        <v>343</v>
      </c>
      <c r="E25" s="51"/>
      <c r="F25" s="51"/>
      <c r="G25" s="51"/>
      <c r="H25" s="51"/>
    </row>
    <row r="26" customFormat="false" ht="24" hidden="false" customHeight="true" outlineLevel="0" collapsed="false">
      <c r="A26" s="48" t="s">
        <v>344</v>
      </c>
      <c r="B26" s="53" t="n">
        <f aca="false">IFERROR(AVERAGEIFS(Tickets!P:P,Tickets!F:F,"P1 - Critical",Tickets!P:P,"&lt;&gt;"),0)</f>
        <v>9.13</v>
      </c>
      <c r="C26" s="50" t="n">
        <f aca="false">IFERROR(AVERAGEIFS(Tickets!P:P,Tickets!F:F,"P1 - Critical",Tickets!P:P,"&lt;&gt;"),0)</f>
        <v>9.13</v>
      </c>
      <c r="D26" s="51" t="s">
        <v>345</v>
      </c>
      <c r="E26" s="51"/>
      <c r="F26" s="51"/>
      <c r="G26" s="51"/>
      <c r="H26" s="51"/>
    </row>
    <row r="28" customFormat="false" ht="25.5" hidden="false" customHeight="true" outlineLevel="0" collapsed="false">
      <c r="A28" s="54" t="s">
        <v>346</v>
      </c>
      <c r="B28" s="54"/>
      <c r="C28" s="54"/>
      <c r="D28" s="54"/>
      <c r="E28" s="54"/>
      <c r="F28" s="54"/>
      <c r="G28" s="54"/>
      <c r="H28" s="54"/>
    </row>
    <row r="29" customFormat="false" ht="24" hidden="false" customHeight="true" outlineLevel="0" collapsed="false">
      <c r="A29" s="48" t="s">
        <v>347</v>
      </c>
      <c r="B29" s="49" t="n">
        <f aca="false">IFERROR(AVERAGEIF(Tickets!S:S,"&lt;&gt;",Tickets!S:S),0)</f>
        <v>3.83333333333333</v>
      </c>
      <c r="C29" s="50" t="n">
        <f aca="false">IFERROR(AVERAGEIF(Tickets!S:S,"&lt;&gt;",Tickets!S:S),0)</f>
        <v>3.83333333333333</v>
      </c>
      <c r="D29" s="51" t="s">
        <v>348</v>
      </c>
      <c r="E29" s="51"/>
      <c r="F29" s="51"/>
      <c r="G29" s="51"/>
      <c r="H29" s="51"/>
    </row>
    <row r="30" customFormat="false" ht="24" hidden="false" customHeight="true" outlineLevel="0" collapsed="false">
      <c r="A30" s="48" t="s">
        <v>349</v>
      </c>
      <c r="B30" s="49" t="n">
        <f aca="false">COUNTIF(Tickets!S:S,5)</f>
        <v>12</v>
      </c>
      <c r="C30" s="50" t="n">
        <f aca="false">COUNTIF(Tickets!S:S,5)</f>
        <v>12</v>
      </c>
      <c r="D30" s="51" t="s">
        <v>350</v>
      </c>
      <c r="E30" s="51"/>
      <c r="F30" s="51"/>
      <c r="G30" s="51"/>
      <c r="H30" s="51"/>
    </row>
    <row r="31" customFormat="false" ht="24" hidden="false" customHeight="true" outlineLevel="0" collapsed="false">
      <c r="A31" s="48" t="s">
        <v>351</v>
      </c>
      <c r="B31" s="49" t="n">
        <f aca="false">COUNTIF(Tickets!S:S,"&lt;=2")</f>
        <v>0</v>
      </c>
      <c r="C31" s="50" t="n">
        <f aca="false">COUNTIF(Tickets!S:S,"&lt;=2")</f>
        <v>0</v>
      </c>
      <c r="D31" s="51" t="s">
        <v>352</v>
      </c>
      <c r="E31" s="51"/>
      <c r="F31" s="51"/>
      <c r="G31" s="51"/>
      <c r="H31" s="51"/>
    </row>
    <row r="32" customFormat="false" ht="24" hidden="false" customHeight="true" outlineLevel="0" collapsed="false">
      <c r="A32" s="48" t="s">
        <v>353</v>
      </c>
      <c r="B32" s="49" t="n">
        <f aca="false">IFERROR(COUNTIFS(Tickets!R:R,0,Tickets!I:I,"Closed")/MAX(COUNTIF(Tickets!I:I,"Closed"),1),0)</f>
        <v>0.952380952380952</v>
      </c>
      <c r="C32" s="50" t="n">
        <f aca="false">IFERROR(COUNTIFS(Tickets!R:R,0,Tickets!I:I,"Closed")/MAX(COUNTIF(Tickets!I:I,"Closed"),1),0)</f>
        <v>0.952380952380952</v>
      </c>
      <c r="D32" s="51" t="s">
        <v>354</v>
      </c>
      <c r="E32" s="51"/>
      <c r="F32" s="51"/>
      <c r="G32" s="51"/>
      <c r="H32" s="51"/>
    </row>
    <row r="33" customFormat="false" ht="24" hidden="false" customHeight="true" outlineLevel="0" collapsed="false">
      <c r="A33" s="48" t="s">
        <v>355</v>
      </c>
      <c r="B33" s="49" t="n">
        <f aca="false">IFERROR(AVERAGEIF(Tickets!R:R,"&lt;&gt;",Tickets!R:R),0)</f>
        <v>0.166666666666667</v>
      </c>
      <c r="C33" s="50" t="n">
        <f aca="false">IFERROR(AVERAGEIF(Tickets!R:R,"&lt;&gt;",Tickets!R:R),0)</f>
        <v>0.166666666666667</v>
      </c>
      <c r="D33" s="51" t="s">
        <v>356</v>
      </c>
      <c r="E33" s="51"/>
      <c r="F33" s="51"/>
      <c r="G33" s="51"/>
      <c r="H33" s="51"/>
    </row>
    <row r="34" customFormat="false" ht="24" hidden="false" customHeight="true" outlineLevel="0" collapsed="false">
      <c r="A34" s="48" t="s">
        <v>357</v>
      </c>
      <c r="B34" s="49" t="n">
        <f aca="true">COUNTIFS(Tickets!I:I,"Open",Tickets!B:B,"&lt;="&amp;(TODAY()-7))</f>
        <v>7</v>
      </c>
      <c r="C34" s="50" t="n">
        <f aca="true">COUNTIFS(Tickets!I:I,"Open",Tickets!B:B,"&lt;="&amp;(TODAY()-7))</f>
        <v>7</v>
      </c>
      <c r="D34" s="51" t="s">
        <v>358</v>
      </c>
      <c r="E34" s="51"/>
      <c r="F34" s="51"/>
      <c r="G34" s="51"/>
      <c r="H34" s="51"/>
    </row>
    <row r="35" customFormat="false" ht="24" hidden="false" customHeight="true" outlineLevel="0" collapsed="false">
      <c r="A35" s="48" t="s">
        <v>359</v>
      </c>
      <c r="B35" s="49" t="n">
        <f aca="true">COUNTIFS(Tickets!I:I,"Open",Tickets!B:B,"&lt;="&amp;(TODAY()-14))</f>
        <v>7</v>
      </c>
      <c r="C35" s="50" t="n">
        <f aca="true">COUNTIFS(Tickets!I:I,"Open",Tickets!B:B,"&lt;="&amp;(TODAY()-14))</f>
        <v>7</v>
      </c>
      <c r="D35" s="51" t="s">
        <v>360</v>
      </c>
      <c r="E35" s="51"/>
      <c r="F35" s="51"/>
      <c r="G35" s="51"/>
      <c r="H35" s="51"/>
    </row>
    <row r="36" customFormat="false" ht="24" hidden="false" customHeight="true" outlineLevel="0" collapsed="false">
      <c r="A36" s="48" t="s">
        <v>361</v>
      </c>
      <c r="B36" s="49" t="n">
        <f aca="true">COUNTIFS(Tickets!I:I,"Open",Tickets!B:B,"&lt;="&amp;(TODAY()-30))</f>
        <v>7</v>
      </c>
      <c r="C36" s="50" t="n">
        <f aca="true">COUNTIFS(Tickets!I:I,"Open",Tickets!B:B,"&lt;="&amp;(TODAY()-30))</f>
        <v>7</v>
      </c>
      <c r="D36" s="51" t="s">
        <v>362</v>
      </c>
      <c r="E36" s="51"/>
      <c r="F36" s="51"/>
      <c r="G36" s="51"/>
      <c r="H36" s="51"/>
    </row>
    <row r="38" customFormat="false" ht="25.5" hidden="false" customHeight="true" outlineLevel="0" collapsed="false">
      <c r="A38" s="55" t="s">
        <v>363</v>
      </c>
      <c r="B38" s="55"/>
      <c r="C38" s="55"/>
      <c r="D38" s="55"/>
      <c r="E38" s="55"/>
      <c r="F38" s="55"/>
      <c r="G38" s="55"/>
      <c r="H38" s="55"/>
    </row>
    <row r="39" customFormat="false" ht="21.75" hidden="false" customHeight="true" outlineLevel="0" collapsed="false">
      <c r="A39" s="56" t="s">
        <v>364</v>
      </c>
      <c r="B39" s="56"/>
      <c r="C39" s="56"/>
      <c r="D39" s="56"/>
      <c r="E39" s="56"/>
      <c r="F39" s="56"/>
      <c r="G39" s="56"/>
      <c r="H39" s="56"/>
    </row>
    <row r="40" customFormat="false" ht="25.5" hidden="false" customHeight="true" outlineLevel="0" collapsed="false">
      <c r="A40" s="57" t="s">
        <v>365</v>
      </c>
      <c r="B40" s="58" t="s">
        <v>122</v>
      </c>
    </row>
    <row r="41" customFormat="false" ht="24" hidden="false" customHeight="true" outlineLevel="0" collapsed="false">
      <c r="A41" s="48" t="s">
        <v>59</v>
      </c>
      <c r="B41" s="49" t="str">
        <f aca="false">IFERROR(xlookup(B40,Technicians!A:A,Technicians!B:B,"Not Found"),"Not Found")</f>
        <v>Not Found</v>
      </c>
      <c r="C41" s="50" t="str">
        <f aca="false">IFERROR(xlookup(B40,Technicians!A:A,Technicians!B:B,"Not Found"),"Not Found")</f>
        <v>Not Found</v>
      </c>
      <c r="D41" s="51" t="s">
        <v>366</v>
      </c>
      <c r="E41" s="51"/>
      <c r="F41" s="51"/>
      <c r="G41" s="51"/>
      <c r="H41" s="51"/>
    </row>
    <row r="42" customFormat="false" ht="24" hidden="false" customHeight="true" outlineLevel="0" collapsed="false">
      <c r="A42" s="48" t="s">
        <v>367</v>
      </c>
      <c r="B42" s="49" t="n">
        <f aca="false">COUNTIF(Tickets!J:J,B40)</f>
        <v>11</v>
      </c>
      <c r="C42" s="50" t="n">
        <f aca="false">COUNTIF(Tickets!J:J,B40)</f>
        <v>11</v>
      </c>
      <c r="D42" s="51" t="s">
        <v>368</v>
      </c>
      <c r="E42" s="51"/>
      <c r="F42" s="51"/>
      <c r="G42" s="51"/>
      <c r="H42" s="51"/>
    </row>
    <row r="43" customFormat="false" ht="24" hidden="false" customHeight="true" outlineLevel="0" collapsed="false">
      <c r="A43" s="48" t="s">
        <v>308</v>
      </c>
      <c r="B43" s="49" t="n">
        <f aca="false">COUNTIFS(Tickets!J:J,B40,Tickets!I:I,"Open")</f>
        <v>2</v>
      </c>
      <c r="C43" s="50" t="n">
        <f aca="false">COUNTIFS(Tickets!J:J,B40,Tickets!I:I,"Open")</f>
        <v>2</v>
      </c>
      <c r="D43" s="51" t="s">
        <v>369</v>
      </c>
      <c r="E43" s="51"/>
      <c r="F43" s="51"/>
      <c r="G43" s="51"/>
      <c r="H43" s="51"/>
    </row>
    <row r="44" customFormat="false" ht="24" hidden="false" customHeight="true" outlineLevel="0" collapsed="false">
      <c r="A44" s="48" t="s">
        <v>312</v>
      </c>
      <c r="B44" s="49" t="n">
        <f aca="false">COUNTIFS(Tickets!J:J,B40,Tickets!I:I,"Resolved")+COUNTIFS(Tickets!J:J,B40,Tickets!I:I,"Closed")</f>
        <v>6</v>
      </c>
      <c r="C44" s="50" t="n">
        <f aca="false">COUNTIFS(Tickets!J:J,B40,Tickets!I:I,"Resolved")+COUNTIFS(Tickets!J:J,B40,Tickets!I:I,"Closed")</f>
        <v>6</v>
      </c>
      <c r="D44" s="51" t="s">
        <v>370</v>
      </c>
      <c r="E44" s="51"/>
      <c r="F44" s="51"/>
      <c r="G44" s="51"/>
      <c r="H44" s="51"/>
    </row>
    <row r="45" customFormat="false" ht="24" hidden="false" customHeight="true" outlineLevel="0" collapsed="false">
      <c r="A45" s="48" t="s">
        <v>371</v>
      </c>
      <c r="B45" s="49" t="n">
        <f aca="false">IFERROR(AVERAGEIFS(Tickets!P:P,Tickets!J:J,B40,Tickets!P:P,"&lt;&gt;"),0)</f>
        <v>50.3</v>
      </c>
      <c r="C45" s="50" t="n">
        <f aca="false">IFERROR(AVERAGEIFS(Tickets!P:P,Tickets!J:J,B40,Tickets!P:P,"&lt;&gt;"),0)</f>
        <v>50.3</v>
      </c>
      <c r="D45" s="51" t="s">
        <v>372</v>
      </c>
      <c r="E45" s="51"/>
      <c r="F45" s="51"/>
      <c r="G45" s="51"/>
      <c r="H45" s="51"/>
    </row>
    <row r="46" customFormat="false" ht="24" hidden="false" customHeight="true" outlineLevel="0" collapsed="false">
      <c r="A46" s="48" t="s">
        <v>332</v>
      </c>
      <c r="B46" s="49" t="n">
        <f aca="false">IFERROR(COUNTIFS(Tickets!J:J,B40,Tickets!Q:Q,"No")/MAX(COUNTIF(Tickets!J:J,B40),1),0)</f>
        <v>0.454545454545455</v>
      </c>
      <c r="C46" s="50" t="n">
        <f aca="false">IFERROR(COUNTIFS(Tickets!J:J,B40,Tickets!Q:Q,"No")/MAX(COUNTIF(Tickets!J:J,B40),1),0)</f>
        <v>0.454545454545455</v>
      </c>
      <c r="D46" s="51" t="s">
        <v>373</v>
      </c>
      <c r="E46" s="51"/>
      <c r="F46" s="51"/>
      <c r="G46" s="51"/>
      <c r="H46" s="51"/>
    </row>
    <row r="47" customFormat="false" ht="24" hidden="false" customHeight="true" outlineLevel="0" collapsed="false">
      <c r="A47" s="48" t="s">
        <v>347</v>
      </c>
      <c r="B47" s="49" t="n">
        <f aca="false">IFERROR(AVERAGEIFS(Tickets!S:S,Tickets!J:J,B40,Tickets!S:S,"&lt;&gt;"),0)</f>
        <v>3.33333333333333</v>
      </c>
      <c r="C47" s="50" t="n">
        <f aca="false">IFERROR(AVERAGEIFS(Tickets!S:S,Tickets!J:J,B40,Tickets!S:S,"&lt;&gt;"),0)</f>
        <v>3.33333333333333</v>
      </c>
      <c r="D47" s="51" t="s">
        <v>374</v>
      </c>
      <c r="E47" s="51"/>
      <c r="F47" s="51"/>
      <c r="G47" s="51"/>
      <c r="H47" s="51"/>
    </row>
  </sheetData>
  <mergeCells count="43">
    <mergeCell ref="A1:H1"/>
    <mergeCell ref="A2:H2"/>
    <mergeCell ref="D3:H3"/>
    <mergeCell ref="A4:H4"/>
    <mergeCell ref="D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A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A28:H28"/>
    <mergeCell ref="D29:H29"/>
    <mergeCell ref="D30:H30"/>
    <mergeCell ref="D31:H31"/>
    <mergeCell ref="D32:H32"/>
    <mergeCell ref="D33:H33"/>
    <mergeCell ref="D34:H34"/>
    <mergeCell ref="D35:H35"/>
    <mergeCell ref="D36:H36"/>
    <mergeCell ref="A38:H38"/>
    <mergeCell ref="A39:H39"/>
    <mergeCell ref="D41:H41"/>
    <mergeCell ref="D42:H42"/>
    <mergeCell ref="D43:H43"/>
    <mergeCell ref="D44:H44"/>
    <mergeCell ref="D45:H45"/>
    <mergeCell ref="D46:H46"/>
    <mergeCell ref="D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8F77"/>
    <pageSetUpPr fitToPage="true"/>
  </sheetPr>
  <dimension ref="A1:R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8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8" min="7" style="0" width="12"/>
    <col collapsed="false" customWidth="true" hidden="false" outlineLevel="0" max="10" min="9" style="0" width="4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4" min="13" style="0" width="12"/>
    <col collapsed="false" customWidth="true" hidden="false" outlineLevel="0" max="17" min="15" style="0" width="14"/>
    <col collapsed="false" customWidth="true" hidden="false" outlineLevel="0" max="18" min="18" style="0" width="8"/>
  </cols>
  <sheetData>
    <row r="1" customFormat="false" ht="43.5" hidden="false" customHeight="true" outlineLevel="0" collapsed="false">
      <c r="A1" s="23" t="s">
        <v>375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customFormat="false" ht="19.5" hidden="false" customHeight="true" outlineLevel="0" collapsed="false">
      <c r="A2" s="2" t="s">
        <v>376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1.75" hidden="false" customHeight="true" outlineLevel="0" collapsed="false">
      <c r="A4" s="59" t="s">
        <v>377</v>
      </c>
      <c r="B4" s="59"/>
      <c r="C4" s="59"/>
      <c r="D4" s="59"/>
      <c r="E4" s="59"/>
      <c r="F4" s="59"/>
      <c r="G4" s="59"/>
      <c r="H4" s="59"/>
      <c r="K4" s="59" t="s">
        <v>378</v>
      </c>
      <c r="L4" s="59"/>
      <c r="M4" s="59"/>
      <c r="N4" s="59"/>
      <c r="O4" s="59"/>
      <c r="P4" s="59"/>
      <c r="Q4" s="59"/>
    </row>
    <row r="5" customFormat="false" ht="27.75" hidden="false" customHeight="true" outlineLevel="0" collapsed="false">
      <c r="A5" s="20" t="s">
        <v>26</v>
      </c>
      <c r="B5" s="20" t="s">
        <v>27</v>
      </c>
      <c r="C5" s="20" t="s">
        <v>30</v>
      </c>
      <c r="D5" s="20" t="s">
        <v>34</v>
      </c>
      <c r="E5" s="20" t="s">
        <v>31</v>
      </c>
      <c r="F5" s="20" t="s">
        <v>39</v>
      </c>
      <c r="G5" s="20" t="s">
        <v>28</v>
      </c>
      <c r="H5" s="20" t="s">
        <v>379</v>
      </c>
      <c r="K5" s="20" t="s">
        <v>56</v>
      </c>
      <c r="L5" s="20" t="s">
        <v>27</v>
      </c>
      <c r="M5" s="20" t="s">
        <v>380</v>
      </c>
      <c r="N5" s="20" t="s">
        <v>65</v>
      </c>
      <c r="O5" s="20" t="s">
        <v>381</v>
      </c>
      <c r="P5" s="20" t="s">
        <v>382</v>
      </c>
      <c r="Q5" s="20" t="s">
        <v>383</v>
      </c>
    </row>
    <row r="6" customFormat="false" ht="15" hidden="false" customHeight="false" outlineLevel="0" collapsed="false">
      <c r="A6" s="60" t="s">
        <v>32</v>
      </c>
      <c r="B6" s="61" t="n">
        <f aca="false">COUNTIF(Tickets!G:G,A6)</f>
        <v>8</v>
      </c>
      <c r="C6" s="61" t="n">
        <f aca="false">COUNTIFS(Tickets!G:G,A6,Tickets!I:I,"Open")</f>
        <v>2</v>
      </c>
      <c r="D6" s="61" t="n">
        <f aca="false">COUNTIFS(Tickets!G:G,A6,Tickets!I:I,"In Progress")</f>
        <v>1</v>
      </c>
      <c r="E6" s="61" t="n">
        <f aca="false">COUNTIFS(Tickets!G:G,A6,Tickets!I:I,"Resolved")</f>
        <v>0</v>
      </c>
      <c r="F6" s="61" t="n">
        <f aca="false">COUNTIFS(Tickets!G:G,A6,Tickets!I:I,"Closed")</f>
        <v>3</v>
      </c>
      <c r="G6" s="61" t="n">
        <f aca="false">COUNTIFS(Tickets!G:G,A6,Tickets!Q:Q,"Yes")</f>
        <v>3</v>
      </c>
      <c r="H6" s="62" t="n">
        <f aca="false">IFERROR(AVERAGEIFS(Tickets!P:P,Tickets!G:G,A6,Tickets!P:P,"&lt;&gt;"),0)</f>
        <v>40.6266666666667</v>
      </c>
      <c r="K6" s="63" t="s">
        <v>114</v>
      </c>
      <c r="L6" s="61" t="n">
        <f aca="false">COUNTIF(Tickets!F:F,K6)</f>
        <v>6</v>
      </c>
      <c r="M6" s="61" t="n">
        <f aca="false">COUNTIFS(Tickets!F:F,K6,Tickets!Q:Q,"No")</f>
        <v>2</v>
      </c>
      <c r="N6" s="61" t="n">
        <f aca="false">COUNTIFS(Tickets!F:F,K6,Tickets!Q:Q,"Yes")</f>
        <v>4</v>
      </c>
      <c r="O6" s="64" t="n">
        <f aca="false">IFERROR(M6/MAX(L6,1),0)</f>
        <v>0.333333333333333</v>
      </c>
      <c r="P6" s="62" t="n">
        <f aca="false">IFERROR(AVERAGEIFS(Tickets!O:O,Tickets!F:F,K6,Tickets!O:O,"&lt;&gt;"),0)</f>
        <v>3.98666666666667</v>
      </c>
      <c r="Q6" s="62" t="n">
        <f aca="false">IFERROR(AVERAGEIFS(Tickets!P:P,Tickets!F:F,K6,Tickets!P:P,"&lt;&gt;"),0)</f>
        <v>9.13</v>
      </c>
    </row>
    <row r="7" customFormat="false" ht="15" hidden="false" customHeight="false" outlineLevel="0" collapsed="false">
      <c r="A7" s="65" t="s">
        <v>35</v>
      </c>
      <c r="B7" s="66" t="n">
        <f aca="false">COUNTIF(Tickets!G:G,A7)</f>
        <v>6</v>
      </c>
      <c r="C7" s="66" t="n">
        <f aca="false">COUNTIFS(Tickets!G:G,A7,Tickets!I:I,"Open")</f>
        <v>2</v>
      </c>
      <c r="D7" s="66" t="n">
        <f aca="false">COUNTIFS(Tickets!G:G,A7,Tickets!I:I,"In Progress")</f>
        <v>1</v>
      </c>
      <c r="E7" s="66" t="n">
        <f aca="false">COUNTIFS(Tickets!G:G,A7,Tickets!I:I,"Resolved")</f>
        <v>0</v>
      </c>
      <c r="F7" s="66" t="n">
        <f aca="false">COUNTIFS(Tickets!G:G,A7,Tickets!I:I,"Closed")</f>
        <v>3</v>
      </c>
      <c r="G7" s="66" t="n">
        <f aca="false">COUNTIFS(Tickets!G:G,A7,Tickets!Q:Q,"Yes")</f>
        <v>4</v>
      </c>
      <c r="H7" s="67" t="n">
        <f aca="false">IFERROR(AVERAGEIFS(Tickets!P:P,Tickets!G:G,A7,Tickets!P:P,"&lt;&gt;"),0)</f>
        <v>44.2566666666667</v>
      </c>
      <c r="K7" s="68" t="s">
        <v>87</v>
      </c>
      <c r="L7" s="66" t="n">
        <f aca="false">COUNTIF(Tickets!F:F,K7)</f>
        <v>13</v>
      </c>
      <c r="M7" s="66" t="n">
        <f aca="false">COUNTIFS(Tickets!F:F,K7,Tickets!Q:Q,"No")</f>
        <v>7</v>
      </c>
      <c r="N7" s="66" t="n">
        <f aca="false">COUNTIFS(Tickets!F:F,K7,Tickets!Q:Q,"Yes")</f>
        <v>6</v>
      </c>
      <c r="O7" s="69" t="n">
        <f aca="false">IFERROR(M7/MAX(L7,1),0)</f>
        <v>0.538461538461538</v>
      </c>
      <c r="P7" s="67" t="n">
        <f aca="false">IFERROR(AVERAGEIFS(Tickets!O:O,Tickets!F:F,K7,Tickets!O:O,"&lt;&gt;"),0)</f>
        <v>7.52384615384615</v>
      </c>
      <c r="Q7" s="67" t="n">
        <f aca="false">IFERROR(AVERAGEIFS(Tickets!P:P,Tickets!F:F,K7,Tickets!P:P,"&lt;&gt;"),0)</f>
        <v>13.854</v>
      </c>
    </row>
    <row r="8" customFormat="false" ht="15" hidden="false" customHeight="false" outlineLevel="0" collapsed="false">
      <c r="A8" s="60" t="s">
        <v>37</v>
      </c>
      <c r="B8" s="61" t="n">
        <f aca="false">COUNTIF(Tickets!G:G,A8)</f>
        <v>14</v>
      </c>
      <c r="C8" s="61" t="n">
        <f aca="false">COUNTIFS(Tickets!G:G,A8,Tickets!I:I,"Open")</f>
        <v>2</v>
      </c>
      <c r="D8" s="61" t="n">
        <f aca="false">COUNTIFS(Tickets!G:G,A8,Tickets!I:I,"In Progress")</f>
        <v>1</v>
      </c>
      <c r="E8" s="61" t="n">
        <f aca="false">COUNTIFS(Tickets!G:G,A8,Tickets!I:I,"Resolved")</f>
        <v>3</v>
      </c>
      <c r="F8" s="61" t="n">
        <f aca="false">COUNTIFS(Tickets!G:G,A8,Tickets!I:I,"Closed")</f>
        <v>7</v>
      </c>
      <c r="G8" s="61" t="n">
        <f aca="false">COUNTIFS(Tickets!G:G,A8,Tickets!Q:Q,"Yes")</f>
        <v>8</v>
      </c>
      <c r="H8" s="62" t="n">
        <f aca="false">IFERROR(AVERAGEIFS(Tickets!P:P,Tickets!G:G,A8,Tickets!P:P,"&lt;&gt;"),0)</f>
        <v>44.515</v>
      </c>
      <c r="K8" s="70" t="s">
        <v>70</v>
      </c>
      <c r="L8" s="61" t="n">
        <f aca="false">COUNTIF(Tickets!F:F,K8)</f>
        <v>30</v>
      </c>
      <c r="M8" s="61" t="n">
        <f aca="false">COUNTIFS(Tickets!F:F,K8,Tickets!Q:Q,"No")</f>
        <v>14</v>
      </c>
      <c r="N8" s="61" t="n">
        <f aca="false">COUNTIFS(Tickets!F:F,K8,Tickets!Q:Q,"Yes")</f>
        <v>16</v>
      </c>
      <c r="O8" s="64" t="n">
        <f aca="false">IFERROR(M8/MAX(L8,1),0)</f>
        <v>0.466666666666667</v>
      </c>
      <c r="P8" s="62" t="n">
        <f aca="false">IFERROR(AVERAGEIFS(Tickets!O:O,Tickets!F:F,K8,Tickets!O:O,"&lt;&gt;"),0)</f>
        <v>22.687</v>
      </c>
      <c r="Q8" s="62" t="n">
        <f aca="false">IFERROR(AVERAGEIFS(Tickets!P:P,Tickets!F:F,K8,Tickets!P:P,"&lt;&gt;"),0)</f>
        <v>40.0946153846154</v>
      </c>
    </row>
    <row r="9" customFormat="false" ht="15" hidden="false" customHeight="false" outlineLevel="0" collapsed="false">
      <c r="A9" s="65" t="s">
        <v>40</v>
      </c>
      <c r="B9" s="66" t="n">
        <f aca="false">COUNTIF(Tickets!G:G,A9)</f>
        <v>8</v>
      </c>
      <c r="C9" s="66" t="n">
        <f aca="false">COUNTIFS(Tickets!G:G,A9,Tickets!I:I,"Open")</f>
        <v>0</v>
      </c>
      <c r="D9" s="66" t="n">
        <f aca="false">COUNTIFS(Tickets!G:G,A9,Tickets!I:I,"In Progress")</f>
        <v>2</v>
      </c>
      <c r="E9" s="66" t="n">
        <f aca="false">COUNTIFS(Tickets!G:G,A9,Tickets!I:I,"Resolved")</f>
        <v>4</v>
      </c>
      <c r="F9" s="66" t="n">
        <f aca="false">COUNTIFS(Tickets!G:G,A9,Tickets!I:I,"Closed")</f>
        <v>2</v>
      </c>
      <c r="G9" s="66" t="n">
        <f aca="false">COUNTIFS(Tickets!G:G,A9,Tickets!Q:Q,"Yes")</f>
        <v>3</v>
      </c>
      <c r="H9" s="67" t="n">
        <f aca="false">IFERROR(AVERAGEIFS(Tickets!P:P,Tickets!G:G,A9,Tickets!P:P,"&lt;&gt;"),0)</f>
        <v>60.7633333333333</v>
      </c>
      <c r="K9" s="71" t="s">
        <v>92</v>
      </c>
      <c r="L9" s="66" t="n">
        <f aca="false">COUNTIF(Tickets!F:F,K9)</f>
        <v>11</v>
      </c>
      <c r="M9" s="66" t="n">
        <f aca="false">COUNTIFS(Tickets!F:F,K9,Tickets!Q:Q,"No")</f>
        <v>7</v>
      </c>
      <c r="N9" s="66" t="n">
        <f aca="false">COUNTIFS(Tickets!F:F,K9,Tickets!Q:Q,"Yes")</f>
        <v>4</v>
      </c>
      <c r="O9" s="69" t="n">
        <f aca="false">IFERROR(M9/MAX(L9,1),0)</f>
        <v>0.636363636363636</v>
      </c>
      <c r="P9" s="67" t="n">
        <f aca="false">IFERROR(AVERAGEIFS(Tickets!O:O,Tickets!F:F,K9,Tickets!O:O,"&lt;&gt;"),0)</f>
        <v>64.2772727272727</v>
      </c>
      <c r="Q9" s="67" t="n">
        <f aca="false">IFERROR(AVERAGEIFS(Tickets!P:P,Tickets!F:F,K9,Tickets!P:P,"&lt;&gt;"),0)</f>
        <v>110.85</v>
      </c>
    </row>
    <row r="10" customFormat="false" ht="23.85" hidden="false" customHeight="false" outlineLevel="0" collapsed="false">
      <c r="A10" s="60" t="s">
        <v>43</v>
      </c>
      <c r="B10" s="61" t="n">
        <f aca="false">COUNTIF(Tickets!G:G,A10)</f>
        <v>7</v>
      </c>
      <c r="C10" s="61" t="n">
        <f aca="false">COUNTIFS(Tickets!G:G,A10,Tickets!I:I,"Open")</f>
        <v>0</v>
      </c>
      <c r="D10" s="61" t="n">
        <f aca="false">COUNTIFS(Tickets!G:G,A10,Tickets!I:I,"In Progress")</f>
        <v>1</v>
      </c>
      <c r="E10" s="61" t="n">
        <f aca="false">COUNTIFS(Tickets!G:G,A10,Tickets!I:I,"Resolved")</f>
        <v>3</v>
      </c>
      <c r="F10" s="61" t="n">
        <f aca="false">COUNTIFS(Tickets!G:G,A10,Tickets!I:I,"Closed")</f>
        <v>2</v>
      </c>
      <c r="G10" s="61" t="n">
        <f aca="false">COUNTIFS(Tickets!G:G,A10,Tickets!Q:Q,"Yes")</f>
        <v>4</v>
      </c>
      <c r="H10" s="62" t="n">
        <f aca="false">IFERROR(AVERAGEIFS(Tickets!P:P,Tickets!G:G,A10,Tickets!P:P,"&lt;&gt;"),0)</f>
        <v>33.836</v>
      </c>
    </row>
    <row r="11" customFormat="false" ht="15" hidden="false" customHeight="false" outlineLevel="0" collapsed="false">
      <c r="A11" s="65" t="s">
        <v>46</v>
      </c>
      <c r="B11" s="66" t="n">
        <f aca="false">COUNTIF(Tickets!G:G,A11)</f>
        <v>7</v>
      </c>
      <c r="C11" s="66" t="n">
        <f aca="false">COUNTIFS(Tickets!G:G,A11,Tickets!I:I,"Open")</f>
        <v>0</v>
      </c>
      <c r="D11" s="66" t="n">
        <f aca="false">COUNTIFS(Tickets!G:G,A11,Tickets!I:I,"In Progress")</f>
        <v>3</v>
      </c>
      <c r="E11" s="66" t="n">
        <f aca="false">COUNTIFS(Tickets!G:G,A11,Tickets!I:I,"Resolved")</f>
        <v>3</v>
      </c>
      <c r="F11" s="66" t="n">
        <f aca="false">COUNTIFS(Tickets!G:G,A11,Tickets!I:I,"Closed")</f>
        <v>1</v>
      </c>
      <c r="G11" s="66" t="n">
        <f aca="false">COUNTIFS(Tickets!G:G,A11,Tickets!Q:Q,"Yes")</f>
        <v>3</v>
      </c>
      <c r="H11" s="67" t="n">
        <f aca="false">IFERROR(AVERAGEIFS(Tickets!P:P,Tickets!G:G,A11,Tickets!P:P,"&lt;&gt;"),0)</f>
        <v>41.995</v>
      </c>
    </row>
    <row r="12" customFormat="false" ht="15" hidden="false" customHeight="false" outlineLevel="0" collapsed="false">
      <c r="A12" s="60" t="s">
        <v>47</v>
      </c>
      <c r="B12" s="61" t="n">
        <f aca="false">COUNTIF(Tickets!G:G,A12)</f>
        <v>4</v>
      </c>
      <c r="C12" s="61" t="n">
        <f aca="false">COUNTIFS(Tickets!G:G,A12,Tickets!I:I,"Open")</f>
        <v>0</v>
      </c>
      <c r="D12" s="61" t="n">
        <f aca="false">COUNTIFS(Tickets!G:G,A12,Tickets!I:I,"In Progress")</f>
        <v>1</v>
      </c>
      <c r="E12" s="61" t="n">
        <f aca="false">COUNTIFS(Tickets!G:G,A12,Tickets!I:I,"Resolved")</f>
        <v>0</v>
      </c>
      <c r="F12" s="61" t="n">
        <f aca="false">COUNTIFS(Tickets!G:G,A12,Tickets!I:I,"Closed")</f>
        <v>3</v>
      </c>
      <c r="G12" s="61" t="n">
        <f aca="false">COUNTIFS(Tickets!G:G,A12,Tickets!Q:Q,"Yes")</f>
        <v>1</v>
      </c>
      <c r="H12" s="62" t="n">
        <f aca="false">IFERROR(AVERAGEIFS(Tickets!P:P,Tickets!G:G,A12,Tickets!P:P,"&lt;&gt;"),0)</f>
        <v>57.9333333333333</v>
      </c>
    </row>
    <row r="13" customFormat="false" ht="15" hidden="false" customHeight="false" outlineLevel="0" collapsed="false">
      <c r="A13" s="65" t="s">
        <v>48</v>
      </c>
      <c r="B13" s="66" t="n">
        <f aca="false">COUNTIF(Tickets!G:G,A13)</f>
        <v>6</v>
      </c>
      <c r="C13" s="66" t="n">
        <f aca="false">COUNTIFS(Tickets!G:G,A13,Tickets!I:I,"Open")</f>
        <v>1</v>
      </c>
      <c r="D13" s="66" t="n">
        <f aca="false">COUNTIFS(Tickets!G:G,A13,Tickets!I:I,"In Progress")</f>
        <v>2</v>
      </c>
      <c r="E13" s="66" t="n">
        <f aca="false">COUNTIFS(Tickets!G:G,A13,Tickets!I:I,"Resolved")</f>
        <v>2</v>
      </c>
      <c r="F13" s="66" t="n">
        <f aca="false">COUNTIFS(Tickets!G:G,A13,Tickets!I:I,"Closed")</f>
        <v>0</v>
      </c>
      <c r="G13" s="66" t="n">
        <f aca="false">COUNTIFS(Tickets!G:G,A13,Tickets!Q:Q,"Yes")</f>
        <v>4</v>
      </c>
      <c r="H13" s="67" t="n">
        <f aca="false">IFERROR(AVERAGEIFS(Tickets!P:P,Tickets!G:G,A13,Tickets!P:P,"&lt;&gt;"),0)</f>
        <v>8.44</v>
      </c>
    </row>
    <row r="17" customFormat="false" ht="21.75" hidden="false" customHeight="true" outlineLevel="0" collapsed="false">
      <c r="A17" s="59" t="s">
        <v>384</v>
      </c>
      <c r="B17" s="59"/>
      <c r="C17" s="59"/>
      <c r="D17" s="59"/>
      <c r="E17" s="59"/>
      <c r="F17" s="59"/>
      <c r="G17" s="59"/>
      <c r="H17" s="59"/>
      <c r="K17" s="59" t="s">
        <v>385</v>
      </c>
      <c r="L17" s="59"/>
      <c r="M17" s="59"/>
      <c r="N17" s="59"/>
      <c r="O17" s="59"/>
    </row>
    <row r="18" customFormat="false" ht="27.75" hidden="false" customHeight="true" outlineLevel="0" collapsed="false">
      <c r="A18" s="20" t="s">
        <v>386</v>
      </c>
      <c r="B18" s="20" t="s">
        <v>387</v>
      </c>
      <c r="C18" s="20" t="s">
        <v>388</v>
      </c>
      <c r="D18" s="20" t="s">
        <v>30</v>
      </c>
      <c r="E18" s="20" t="s">
        <v>31</v>
      </c>
      <c r="F18" s="20" t="s">
        <v>389</v>
      </c>
      <c r="G18" s="20" t="s">
        <v>379</v>
      </c>
      <c r="H18" s="20" t="s">
        <v>390</v>
      </c>
      <c r="K18" s="20" t="s">
        <v>391</v>
      </c>
      <c r="L18" s="20" t="s">
        <v>392</v>
      </c>
      <c r="M18" s="20" t="s">
        <v>31</v>
      </c>
      <c r="N18" s="20" t="s">
        <v>7</v>
      </c>
      <c r="O18" s="20" t="s">
        <v>28</v>
      </c>
    </row>
    <row r="19" customFormat="false" ht="35.05" hidden="false" customHeight="false" outlineLevel="0" collapsed="false">
      <c r="A19" s="31" t="s">
        <v>122</v>
      </c>
      <c r="B19" s="31" t="s">
        <v>33</v>
      </c>
      <c r="C19" s="66" t="n">
        <f aca="false">COUNTIF(Tickets!J:J,A19)</f>
        <v>11</v>
      </c>
      <c r="D19" s="66" t="n">
        <f aca="false">COUNTIFS(Tickets!J:J,A19,Tickets!I:I,"Open")</f>
        <v>2</v>
      </c>
      <c r="E19" s="66" t="n">
        <f aca="false">COUNTIFS(Tickets!J:J,A19,Tickets!I:I,"Resolved")+COUNTIFS(Tickets!J:J,A19,Tickets!I:I,"Closed")</f>
        <v>6</v>
      </c>
      <c r="F19" s="69" t="n">
        <f aca="false">IFERROR(COUNTIFS(Tickets!J:J,A19,Tickets!Q:Q,"No")/MAX(COUNTIF(Tickets!J:J,A19),1),0)</f>
        <v>0.454545454545455</v>
      </c>
      <c r="G19" s="67" t="n">
        <f aca="false">IFERROR(AVERAGEIFS(Tickets!P:P,Tickets!J:J,A19,Tickets!P:P,"&lt;&gt;"),0)</f>
        <v>50.3</v>
      </c>
      <c r="H19" s="67" t="n">
        <f aca="false">IFERROR(AVERAGEIFS(Tickets!S:S,Tickets!J:J,A19,Tickets!S:S,"&lt;&gt;"),0)</f>
        <v>3.33333333333333</v>
      </c>
      <c r="K19" s="31" t="s">
        <v>393</v>
      </c>
      <c r="L19" s="66" t="n">
        <v>0</v>
      </c>
      <c r="M19" s="66" t="n">
        <v>0</v>
      </c>
      <c r="N19" s="66" t="n">
        <v>0</v>
      </c>
      <c r="O19" s="66" t="n">
        <v>0</v>
      </c>
    </row>
    <row r="20" customFormat="false" ht="35.05" hidden="false" customHeight="false" outlineLevel="0" collapsed="false">
      <c r="A20" s="25" t="s">
        <v>83</v>
      </c>
      <c r="B20" s="25" t="s">
        <v>36</v>
      </c>
      <c r="C20" s="61" t="n">
        <f aca="false">COUNTIF(Tickets!J:J,A20)</f>
        <v>11</v>
      </c>
      <c r="D20" s="61" t="n">
        <f aca="false">COUNTIFS(Tickets!J:J,A20,Tickets!I:I,"Open")</f>
        <v>1</v>
      </c>
      <c r="E20" s="61" t="n">
        <f aca="false">COUNTIFS(Tickets!J:J,A20,Tickets!I:I,"Resolved")+COUNTIFS(Tickets!J:J,A20,Tickets!I:I,"Closed")</f>
        <v>5</v>
      </c>
      <c r="F20" s="64" t="n">
        <f aca="false">IFERROR(COUNTIFS(Tickets!J:J,A20,Tickets!Q:Q,"No")/MAX(COUNTIF(Tickets!J:J,A20),1),0)</f>
        <v>0.636363636363636</v>
      </c>
      <c r="G20" s="62" t="n">
        <f aca="false">IFERROR(AVERAGEIFS(Tickets!P:P,Tickets!J:J,A20,Tickets!P:P,"&lt;&gt;"),0)</f>
        <v>43.256</v>
      </c>
      <c r="H20" s="62" t="n">
        <f aca="false">IFERROR(AVERAGEIFS(Tickets!S:S,Tickets!J:J,A20,Tickets!S:S,"&lt;&gt;"),0)</f>
        <v>4</v>
      </c>
      <c r="K20" s="25" t="s">
        <v>394</v>
      </c>
      <c r="L20" s="61" t="n">
        <v>0</v>
      </c>
      <c r="M20" s="61" t="n">
        <v>0</v>
      </c>
      <c r="N20" s="61" t="n">
        <v>0</v>
      </c>
      <c r="O20" s="61" t="n">
        <v>0</v>
      </c>
    </row>
    <row r="21" customFormat="false" ht="23.85" hidden="false" customHeight="false" outlineLevel="0" collapsed="false">
      <c r="A21" s="31" t="s">
        <v>111</v>
      </c>
      <c r="B21" s="31" t="s">
        <v>38</v>
      </c>
      <c r="C21" s="66" t="n">
        <f aca="false">COUNTIF(Tickets!J:J,A21)</f>
        <v>13</v>
      </c>
      <c r="D21" s="66" t="n">
        <f aca="false">COUNTIFS(Tickets!J:J,A21,Tickets!I:I,"Open")</f>
        <v>2</v>
      </c>
      <c r="E21" s="66" t="n">
        <f aca="false">COUNTIFS(Tickets!J:J,A21,Tickets!I:I,"Resolved")+COUNTIFS(Tickets!J:J,A21,Tickets!I:I,"Closed")</f>
        <v>10</v>
      </c>
      <c r="F21" s="69" t="n">
        <f aca="false">IFERROR(COUNTIFS(Tickets!J:J,A21,Tickets!Q:Q,"No")/MAX(COUNTIF(Tickets!J:J,A21),1),0)</f>
        <v>0.384615384615385</v>
      </c>
      <c r="G21" s="67" t="n">
        <f aca="false">IFERROR(AVERAGEIFS(Tickets!P:P,Tickets!J:J,A21,Tickets!P:P,"&lt;&gt;"),0)</f>
        <v>50.578</v>
      </c>
      <c r="H21" s="67" t="n">
        <f aca="false">IFERROR(AVERAGEIFS(Tickets!S:S,Tickets!J:J,A21,Tickets!S:S,"&lt;&gt;"),0)</f>
        <v>3.9</v>
      </c>
      <c r="K21" s="31" t="s">
        <v>395</v>
      </c>
      <c r="L21" s="66" t="n">
        <v>0</v>
      </c>
      <c r="M21" s="66" t="n">
        <v>0</v>
      </c>
      <c r="N21" s="66" t="n">
        <v>0</v>
      </c>
      <c r="O21" s="66" t="n">
        <v>0</v>
      </c>
    </row>
    <row r="22" customFormat="false" ht="23.85" hidden="false" customHeight="false" outlineLevel="0" collapsed="false">
      <c r="A22" s="25" t="s">
        <v>78</v>
      </c>
      <c r="B22" s="25" t="s">
        <v>41</v>
      </c>
      <c r="C22" s="61" t="n">
        <f aca="false">COUNTIF(Tickets!J:J,A22)</f>
        <v>9</v>
      </c>
      <c r="D22" s="61" t="n">
        <f aca="false">COUNTIFS(Tickets!J:J,A22,Tickets!I:I,"Open")</f>
        <v>1</v>
      </c>
      <c r="E22" s="61" t="n">
        <f aca="false">COUNTIFS(Tickets!J:J,A22,Tickets!I:I,"Resolved")+COUNTIFS(Tickets!J:J,A22,Tickets!I:I,"Closed")</f>
        <v>5</v>
      </c>
      <c r="F22" s="64" t="n">
        <f aca="false">IFERROR(COUNTIFS(Tickets!J:J,A22,Tickets!Q:Q,"No")/MAX(COUNTIF(Tickets!J:J,A22),1),0)</f>
        <v>0.333333333333333</v>
      </c>
      <c r="G22" s="62" t="n">
        <f aca="false">IFERROR(AVERAGEIFS(Tickets!P:P,Tickets!J:J,A22,Tickets!P:P,"&lt;&gt;"),0)</f>
        <v>33.386</v>
      </c>
      <c r="H22" s="62" t="n">
        <f aca="false">IFERROR(AVERAGEIFS(Tickets!S:S,Tickets!J:J,A22,Tickets!S:S,"&lt;&gt;"),0)</f>
        <v>3.8</v>
      </c>
      <c r="K22" s="25" t="s">
        <v>396</v>
      </c>
      <c r="L22" s="61" t="n">
        <v>0</v>
      </c>
      <c r="M22" s="61" t="n">
        <v>0</v>
      </c>
      <c r="N22" s="61" t="n">
        <v>0</v>
      </c>
      <c r="O22" s="61" t="n">
        <v>0</v>
      </c>
    </row>
    <row r="23" customFormat="false" ht="23.85" hidden="false" customHeight="false" outlineLevel="0" collapsed="false">
      <c r="A23" s="31" t="s">
        <v>72</v>
      </c>
      <c r="B23" s="31" t="s">
        <v>44</v>
      </c>
      <c r="C23" s="66" t="n">
        <f aca="false">COUNTIF(Tickets!J:J,A23)</f>
        <v>16</v>
      </c>
      <c r="D23" s="66" t="n">
        <f aca="false">COUNTIFS(Tickets!J:J,A23,Tickets!I:I,"Open")</f>
        <v>1</v>
      </c>
      <c r="E23" s="66" t="n">
        <f aca="false">COUNTIFS(Tickets!J:J,A23,Tickets!I:I,"Resolved")+COUNTIFS(Tickets!J:J,A23,Tickets!I:I,"Closed")</f>
        <v>10</v>
      </c>
      <c r="F23" s="69" t="n">
        <f aca="false">IFERROR(COUNTIFS(Tickets!J:J,A23,Tickets!Q:Q,"No")/MAX(COUNTIF(Tickets!J:J,A23),1),0)</f>
        <v>0.625</v>
      </c>
      <c r="G23" s="67" t="n">
        <f aca="false">IFERROR(AVERAGEIFS(Tickets!P:P,Tickets!J:J,A23,Tickets!P:P,"&lt;&gt;"),0)</f>
        <v>40.143</v>
      </c>
      <c r="H23" s="67" t="n">
        <f aca="false">IFERROR(AVERAGEIFS(Tickets!S:S,Tickets!J:J,A23,Tickets!S:S,"&lt;&gt;"),0)</f>
        <v>4</v>
      </c>
      <c r="K23" s="31" t="s">
        <v>397</v>
      </c>
      <c r="L23" s="66" t="n">
        <v>0</v>
      </c>
      <c r="M23" s="66" t="n">
        <v>0</v>
      </c>
      <c r="N23" s="66" t="n">
        <v>0</v>
      </c>
      <c r="O23" s="66" t="n">
        <v>0</v>
      </c>
    </row>
    <row r="24" customFormat="false" ht="15" hidden="false" customHeight="false" outlineLevel="0" collapsed="false">
      <c r="K24" s="25" t="s">
        <v>398</v>
      </c>
      <c r="L24" s="61" t="n">
        <v>0</v>
      </c>
      <c r="M24" s="61" t="n">
        <v>0</v>
      </c>
      <c r="N24" s="61" t="n">
        <v>0</v>
      </c>
      <c r="O24" s="61" t="n">
        <v>0</v>
      </c>
    </row>
  </sheetData>
  <mergeCells count="6">
    <mergeCell ref="A1:R1"/>
    <mergeCell ref="A2:R2"/>
    <mergeCell ref="A4:H4"/>
    <mergeCell ref="K4:Q4"/>
    <mergeCell ref="A17:H17"/>
    <mergeCell ref="K17:O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2B21"/>
    <pageSetUpPr fitToPage="true"/>
  </sheetPr>
  <dimension ref="A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22"/>
    <col collapsed="false" customWidth="true" hidden="false" outlineLevel="0" max="11" min="11" style="0" width="16"/>
    <col collapsed="false" customWidth="true" hidden="false" outlineLevel="0" max="12" min="12" style="0" width="28"/>
  </cols>
  <sheetData>
    <row r="1" customFormat="false" ht="43.5" hidden="false" customHeight="true" outlineLevel="0" collapsed="false">
      <c r="A1" s="23" t="s">
        <v>399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customFormat="false" ht="19.5" hidden="false" customHeight="true" outlineLevel="0" collapsed="false">
      <c r="A2" s="2" t="s">
        <v>400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4" t="s">
        <v>51</v>
      </c>
      <c r="B3" s="24" t="s">
        <v>52</v>
      </c>
      <c r="C3" s="24" t="s">
        <v>56</v>
      </c>
      <c r="D3" s="24" t="s">
        <v>26</v>
      </c>
      <c r="E3" s="24" t="s">
        <v>24</v>
      </c>
      <c r="F3" s="24" t="s">
        <v>29</v>
      </c>
      <c r="G3" s="24" t="s">
        <v>401</v>
      </c>
      <c r="H3" s="24" t="s">
        <v>402</v>
      </c>
      <c r="I3" s="24" t="s">
        <v>65</v>
      </c>
      <c r="J3" s="24" t="s">
        <v>403</v>
      </c>
      <c r="K3" s="24" t="s">
        <v>404</v>
      </c>
      <c r="L3" s="24" t="s">
        <v>405</v>
      </c>
    </row>
    <row r="4" customFormat="false" ht="15" hidden="false" customHeight="false" outlineLevel="0" collapsed="false">
      <c r="A4" s="39" t="s">
        <v>178</v>
      </c>
      <c r="B4" s="72" t="n">
        <v>45645</v>
      </c>
      <c r="C4" s="39" t="s">
        <v>87</v>
      </c>
      <c r="D4" s="39" t="s">
        <v>48</v>
      </c>
      <c r="E4" s="39" t="s">
        <v>30</v>
      </c>
      <c r="F4" s="39" t="s">
        <v>44</v>
      </c>
      <c r="G4" s="73" t="n">
        <v>89</v>
      </c>
      <c r="H4" s="39" t="s">
        <v>406</v>
      </c>
      <c r="I4" s="39" t="s">
        <v>108</v>
      </c>
      <c r="J4" s="39" t="s">
        <v>80</v>
      </c>
      <c r="K4" s="39" t="s">
        <v>407</v>
      </c>
      <c r="L4" s="39" t="s">
        <v>408</v>
      </c>
    </row>
    <row r="5" customFormat="false" ht="15" hidden="false" customHeight="false" outlineLevel="0" collapsed="false">
      <c r="A5" s="39" t="s">
        <v>104</v>
      </c>
      <c r="B5" s="72" t="n">
        <v>45647</v>
      </c>
      <c r="C5" s="39" t="s">
        <v>70</v>
      </c>
      <c r="D5" s="39" t="s">
        <v>32</v>
      </c>
      <c r="E5" s="39" t="s">
        <v>30</v>
      </c>
      <c r="F5" s="39" t="s">
        <v>36</v>
      </c>
      <c r="G5" s="73" t="n">
        <v>87</v>
      </c>
      <c r="H5" s="39" t="s">
        <v>406</v>
      </c>
      <c r="I5" s="39" t="s">
        <v>75</v>
      </c>
      <c r="J5" s="39" t="s">
        <v>98</v>
      </c>
      <c r="K5" s="39" t="s">
        <v>409</v>
      </c>
      <c r="L5" s="39" t="s">
        <v>408</v>
      </c>
    </row>
    <row r="6" customFormat="false" ht="15" hidden="false" customHeight="false" outlineLevel="0" collapsed="false">
      <c r="A6" s="39" t="s">
        <v>127</v>
      </c>
      <c r="B6" s="72" t="n">
        <v>45650</v>
      </c>
      <c r="C6" s="39" t="s">
        <v>92</v>
      </c>
      <c r="D6" s="39" t="s">
        <v>32</v>
      </c>
      <c r="E6" s="39" t="s">
        <v>30</v>
      </c>
      <c r="F6" s="39" t="s">
        <v>33</v>
      </c>
      <c r="G6" s="73" t="n">
        <v>84</v>
      </c>
      <c r="H6" s="39" t="s">
        <v>406</v>
      </c>
      <c r="I6" s="39" t="s">
        <v>108</v>
      </c>
      <c r="J6" s="39" t="s">
        <v>95</v>
      </c>
      <c r="K6" s="39" t="s">
        <v>409</v>
      </c>
      <c r="L6" s="39" t="s">
        <v>408</v>
      </c>
    </row>
    <row r="7" customFormat="false" ht="15" hidden="false" customHeight="false" outlineLevel="0" collapsed="false">
      <c r="A7" s="39" t="s">
        <v>173</v>
      </c>
      <c r="B7" s="72" t="n">
        <v>45650</v>
      </c>
      <c r="C7" s="39" t="s">
        <v>70</v>
      </c>
      <c r="D7" s="39" t="s">
        <v>32</v>
      </c>
      <c r="E7" s="39" t="s">
        <v>34</v>
      </c>
      <c r="F7" s="39" t="s">
        <v>36</v>
      </c>
      <c r="G7" s="73" t="n">
        <v>84</v>
      </c>
      <c r="H7" s="39" t="s">
        <v>406</v>
      </c>
      <c r="I7" s="39" t="s">
        <v>108</v>
      </c>
      <c r="J7" s="39" t="s">
        <v>95</v>
      </c>
      <c r="K7" s="39" t="s">
        <v>409</v>
      </c>
      <c r="L7" s="39" t="s">
        <v>408</v>
      </c>
    </row>
    <row r="8" customFormat="false" ht="15" hidden="false" customHeight="false" outlineLevel="0" collapsed="false">
      <c r="A8" s="39" t="s">
        <v>102</v>
      </c>
      <c r="B8" s="72" t="n">
        <v>45659</v>
      </c>
      <c r="C8" s="39" t="s">
        <v>70</v>
      </c>
      <c r="D8" s="39" t="s">
        <v>37</v>
      </c>
      <c r="E8" s="39" t="s">
        <v>34</v>
      </c>
      <c r="F8" s="39" t="s">
        <v>41</v>
      </c>
      <c r="G8" s="73" t="n">
        <v>75</v>
      </c>
      <c r="H8" s="39" t="s">
        <v>406</v>
      </c>
      <c r="I8" s="39" t="s">
        <v>75</v>
      </c>
      <c r="J8" s="39" t="s">
        <v>95</v>
      </c>
      <c r="K8" s="39" t="s">
        <v>409</v>
      </c>
      <c r="L8" s="39" t="s">
        <v>408</v>
      </c>
    </row>
    <row r="9" customFormat="false" ht="15" hidden="false" customHeight="false" outlineLevel="0" collapsed="false">
      <c r="A9" s="39" t="s">
        <v>189</v>
      </c>
      <c r="B9" s="72" t="n">
        <v>45665</v>
      </c>
      <c r="C9" s="39" t="s">
        <v>70</v>
      </c>
      <c r="D9" s="39" t="s">
        <v>35</v>
      </c>
      <c r="E9" s="39" t="s">
        <v>34</v>
      </c>
      <c r="F9" s="39" t="s">
        <v>33</v>
      </c>
      <c r="G9" s="73" t="n">
        <v>69</v>
      </c>
      <c r="H9" s="39" t="s">
        <v>406</v>
      </c>
      <c r="I9" s="39" t="s">
        <v>108</v>
      </c>
      <c r="J9" s="39" t="s">
        <v>112</v>
      </c>
      <c r="K9" s="39" t="s">
        <v>409</v>
      </c>
      <c r="L9" s="39" t="s">
        <v>408</v>
      </c>
    </row>
    <row r="10" customFormat="false" ht="15" hidden="false" customHeight="false" outlineLevel="0" collapsed="false">
      <c r="A10" s="39" t="s">
        <v>175</v>
      </c>
      <c r="B10" s="72" t="n">
        <v>45666</v>
      </c>
      <c r="C10" s="39" t="s">
        <v>70</v>
      </c>
      <c r="D10" s="39" t="s">
        <v>40</v>
      </c>
      <c r="E10" s="39" t="s">
        <v>34</v>
      </c>
      <c r="F10" s="39" t="s">
        <v>44</v>
      </c>
      <c r="G10" s="73" t="n">
        <v>68</v>
      </c>
      <c r="H10" s="39" t="s">
        <v>406</v>
      </c>
      <c r="I10" s="39" t="s">
        <v>108</v>
      </c>
      <c r="J10" s="39" t="s">
        <v>80</v>
      </c>
      <c r="K10" s="39" t="s">
        <v>409</v>
      </c>
      <c r="L10" s="39" t="s">
        <v>408</v>
      </c>
    </row>
    <row r="11" customFormat="false" ht="15" hidden="false" customHeight="false" outlineLevel="0" collapsed="false">
      <c r="A11" s="39" t="s">
        <v>117</v>
      </c>
      <c r="B11" s="72" t="n">
        <v>45668</v>
      </c>
      <c r="C11" s="39" t="s">
        <v>70</v>
      </c>
      <c r="D11" s="39" t="s">
        <v>46</v>
      </c>
      <c r="E11" s="39" t="s">
        <v>34</v>
      </c>
      <c r="F11" s="39" t="s">
        <v>44</v>
      </c>
      <c r="G11" s="73" t="n">
        <v>66</v>
      </c>
      <c r="H11" s="39" t="s">
        <v>406</v>
      </c>
      <c r="I11" s="39" t="s">
        <v>75</v>
      </c>
      <c r="J11" s="39" t="s">
        <v>74</v>
      </c>
      <c r="K11" s="39" t="s">
        <v>409</v>
      </c>
      <c r="L11" s="39" t="s">
        <v>408</v>
      </c>
    </row>
    <row r="12" customFormat="false" ht="15" hidden="false" customHeight="false" outlineLevel="0" collapsed="false">
      <c r="A12" s="39" t="s">
        <v>166</v>
      </c>
      <c r="B12" s="72" t="n">
        <v>45668</v>
      </c>
      <c r="C12" s="39" t="s">
        <v>92</v>
      </c>
      <c r="D12" s="39" t="s">
        <v>37</v>
      </c>
      <c r="E12" s="39" t="s">
        <v>30</v>
      </c>
      <c r="F12" s="39" t="s">
        <v>38</v>
      </c>
      <c r="G12" s="73" t="n">
        <v>66</v>
      </c>
      <c r="H12" s="39" t="s">
        <v>406</v>
      </c>
      <c r="I12" s="39" t="s">
        <v>108</v>
      </c>
      <c r="J12" s="39" t="s">
        <v>90</v>
      </c>
      <c r="K12" s="39" t="s">
        <v>409</v>
      </c>
      <c r="L12" s="39" t="s">
        <v>408</v>
      </c>
    </row>
    <row r="13" customFormat="false" ht="15" hidden="false" customHeight="false" outlineLevel="0" collapsed="false">
      <c r="A13" s="39" t="s">
        <v>119</v>
      </c>
      <c r="B13" s="72" t="n">
        <v>45670</v>
      </c>
      <c r="C13" s="39" t="s">
        <v>87</v>
      </c>
      <c r="D13" s="39" t="s">
        <v>48</v>
      </c>
      <c r="E13" s="39" t="s">
        <v>34</v>
      </c>
      <c r="F13" s="39" t="s">
        <v>41</v>
      </c>
      <c r="G13" s="73" t="n">
        <v>64</v>
      </c>
      <c r="H13" s="39" t="s">
        <v>406</v>
      </c>
      <c r="I13" s="39" t="s">
        <v>108</v>
      </c>
      <c r="J13" s="39" t="s">
        <v>74</v>
      </c>
      <c r="K13" s="39" t="s">
        <v>407</v>
      </c>
      <c r="L13" s="39" t="s">
        <v>408</v>
      </c>
    </row>
    <row r="14" customFormat="false" ht="15" hidden="false" customHeight="false" outlineLevel="0" collapsed="false">
      <c r="A14" s="39" t="s">
        <v>172</v>
      </c>
      <c r="B14" s="72" t="n">
        <v>45678</v>
      </c>
      <c r="C14" s="39" t="s">
        <v>70</v>
      </c>
      <c r="D14" s="39" t="s">
        <v>48</v>
      </c>
      <c r="E14" s="39" t="s">
        <v>34</v>
      </c>
      <c r="F14" s="39" t="s">
        <v>36</v>
      </c>
      <c r="G14" s="73" t="n">
        <v>56</v>
      </c>
      <c r="H14" s="39" t="s">
        <v>406</v>
      </c>
      <c r="I14" s="39" t="s">
        <v>75</v>
      </c>
      <c r="J14" s="39" t="s">
        <v>95</v>
      </c>
      <c r="K14" s="39" t="s">
        <v>409</v>
      </c>
      <c r="L14" s="39" t="s">
        <v>408</v>
      </c>
    </row>
    <row r="15" customFormat="false" ht="15" hidden="false" customHeight="false" outlineLevel="0" collapsed="false">
      <c r="A15" s="39" t="s">
        <v>149</v>
      </c>
      <c r="B15" s="72" t="n">
        <v>45684</v>
      </c>
      <c r="C15" s="39" t="s">
        <v>70</v>
      </c>
      <c r="D15" s="39" t="s">
        <v>46</v>
      </c>
      <c r="E15" s="39" t="s">
        <v>34</v>
      </c>
      <c r="F15" s="39" t="s">
        <v>36</v>
      </c>
      <c r="G15" s="73" t="n">
        <v>50</v>
      </c>
      <c r="H15" s="39" t="s">
        <v>406</v>
      </c>
      <c r="I15" s="39" t="s">
        <v>108</v>
      </c>
      <c r="J15" s="39" t="s">
        <v>74</v>
      </c>
      <c r="K15" s="39" t="s">
        <v>409</v>
      </c>
      <c r="L15" s="39" t="s">
        <v>408</v>
      </c>
    </row>
    <row r="16" customFormat="false" ht="15" hidden="false" customHeight="false" outlineLevel="0" collapsed="false">
      <c r="A16" s="39" t="s">
        <v>187</v>
      </c>
      <c r="B16" s="72" t="n">
        <v>45684</v>
      </c>
      <c r="C16" s="39" t="s">
        <v>70</v>
      </c>
      <c r="D16" s="39" t="s">
        <v>43</v>
      </c>
      <c r="E16" s="39" t="s">
        <v>34</v>
      </c>
      <c r="F16" s="39" t="s">
        <v>36</v>
      </c>
      <c r="G16" s="73" t="n">
        <v>50</v>
      </c>
      <c r="H16" s="39" t="s">
        <v>406</v>
      </c>
      <c r="I16" s="39" t="s">
        <v>108</v>
      </c>
      <c r="J16" s="39" t="s">
        <v>90</v>
      </c>
      <c r="K16" s="39" t="s">
        <v>409</v>
      </c>
      <c r="L16" s="39" t="s">
        <v>408</v>
      </c>
    </row>
    <row r="17" customFormat="false" ht="15" hidden="false" customHeight="false" outlineLevel="0" collapsed="false">
      <c r="A17" s="39" t="s">
        <v>151</v>
      </c>
      <c r="B17" s="72" t="n">
        <v>45691</v>
      </c>
      <c r="C17" s="39" t="s">
        <v>70</v>
      </c>
      <c r="D17" s="39" t="s">
        <v>35</v>
      </c>
      <c r="E17" s="39" t="s">
        <v>30</v>
      </c>
      <c r="F17" s="39" t="s">
        <v>33</v>
      </c>
      <c r="G17" s="73" t="n">
        <v>43</v>
      </c>
      <c r="H17" s="39" t="s">
        <v>406</v>
      </c>
      <c r="I17" s="39" t="s">
        <v>108</v>
      </c>
      <c r="J17" s="39" t="s">
        <v>153</v>
      </c>
      <c r="K17" s="39" t="s">
        <v>409</v>
      </c>
      <c r="L17" s="39" t="s">
        <v>408</v>
      </c>
    </row>
    <row r="18" customFormat="false" ht="15" hidden="false" customHeight="false" outlineLevel="0" collapsed="false">
      <c r="A18" s="39" t="s">
        <v>139</v>
      </c>
      <c r="B18" s="72" t="n">
        <v>45699</v>
      </c>
      <c r="C18" s="39" t="s">
        <v>70</v>
      </c>
      <c r="D18" s="39" t="s">
        <v>37</v>
      </c>
      <c r="E18" s="39" t="s">
        <v>30</v>
      </c>
      <c r="F18" s="39" t="s">
        <v>38</v>
      </c>
      <c r="G18" s="73" t="n">
        <v>35</v>
      </c>
      <c r="H18" s="39" t="s">
        <v>406</v>
      </c>
      <c r="I18" s="39" t="s">
        <v>108</v>
      </c>
      <c r="J18" s="39" t="s">
        <v>98</v>
      </c>
      <c r="K18" s="39" t="s">
        <v>409</v>
      </c>
      <c r="L18" s="39" t="s">
        <v>408</v>
      </c>
    </row>
    <row r="19" customFormat="false" ht="15" hidden="false" customHeight="false" outlineLevel="0" collapsed="false">
      <c r="A19" s="39" t="s">
        <v>107</v>
      </c>
      <c r="B19" s="72" t="n">
        <v>45701</v>
      </c>
      <c r="C19" s="39" t="s">
        <v>70</v>
      </c>
      <c r="D19" s="39" t="s">
        <v>32</v>
      </c>
      <c r="E19" s="39" t="s">
        <v>42</v>
      </c>
      <c r="F19" s="39" t="s">
        <v>44</v>
      </c>
      <c r="G19" s="73" t="n">
        <v>33</v>
      </c>
      <c r="H19" s="39" t="s">
        <v>406</v>
      </c>
      <c r="I19" s="39" t="s">
        <v>108</v>
      </c>
      <c r="J19" s="39" t="s">
        <v>98</v>
      </c>
      <c r="K19" s="39" t="s">
        <v>409</v>
      </c>
      <c r="L19" s="39" t="s">
        <v>408</v>
      </c>
    </row>
    <row r="20" customFormat="false" ht="15" hidden="false" customHeight="false" outlineLevel="0" collapsed="false">
      <c r="A20" s="39" t="s">
        <v>190</v>
      </c>
      <c r="B20" s="72" t="n">
        <v>45701</v>
      </c>
      <c r="C20" s="39" t="s">
        <v>70</v>
      </c>
      <c r="D20" s="39" t="s">
        <v>47</v>
      </c>
      <c r="E20" s="39" t="s">
        <v>34</v>
      </c>
      <c r="F20" s="39" t="s">
        <v>33</v>
      </c>
      <c r="G20" s="73" t="n">
        <v>33</v>
      </c>
      <c r="H20" s="39" t="s">
        <v>406</v>
      </c>
      <c r="I20" s="39" t="s">
        <v>75</v>
      </c>
      <c r="J20" s="39" t="s">
        <v>95</v>
      </c>
      <c r="K20" s="39" t="s">
        <v>409</v>
      </c>
      <c r="L20" s="39" t="s">
        <v>408</v>
      </c>
    </row>
    <row r="21" customFormat="false" ht="15" hidden="false" customHeight="false" outlineLevel="0" collapsed="false">
      <c r="A21" s="39" t="s">
        <v>164</v>
      </c>
      <c r="B21" s="72" t="n">
        <v>45703</v>
      </c>
      <c r="C21" s="39" t="s">
        <v>92</v>
      </c>
      <c r="D21" s="39" t="s">
        <v>40</v>
      </c>
      <c r="E21" s="39" t="s">
        <v>34</v>
      </c>
      <c r="F21" s="39" t="s">
        <v>38</v>
      </c>
      <c r="G21" s="73" t="n">
        <v>31</v>
      </c>
      <c r="H21" s="39" t="s">
        <v>406</v>
      </c>
      <c r="I21" s="39" t="s">
        <v>75</v>
      </c>
      <c r="J21" s="39" t="s">
        <v>158</v>
      </c>
      <c r="K21" s="39" t="s">
        <v>409</v>
      </c>
      <c r="L21" s="39" t="s">
        <v>408</v>
      </c>
    </row>
    <row r="22" customFormat="false" ht="15" hidden="false" customHeight="false" outlineLevel="0" collapsed="false">
      <c r="A22" s="39" t="s">
        <v>143</v>
      </c>
      <c r="B22" s="72" t="n">
        <v>45716</v>
      </c>
      <c r="C22" s="39" t="s">
        <v>70</v>
      </c>
      <c r="D22" s="39" t="s">
        <v>43</v>
      </c>
      <c r="E22" s="39" t="s">
        <v>42</v>
      </c>
      <c r="F22" s="39" t="s">
        <v>33</v>
      </c>
      <c r="G22" s="73" t="n">
        <v>18</v>
      </c>
      <c r="H22" s="39" t="s">
        <v>410</v>
      </c>
      <c r="I22" s="39" t="s">
        <v>108</v>
      </c>
      <c r="J22" s="39" t="s">
        <v>90</v>
      </c>
      <c r="K22" s="39" t="s">
        <v>409</v>
      </c>
      <c r="L22" s="39" t="s">
        <v>408</v>
      </c>
    </row>
    <row r="23" customFormat="false" ht="15" hidden="false" customHeight="false" outlineLevel="0" collapsed="false">
      <c r="A23" s="39" t="s">
        <v>146</v>
      </c>
      <c r="B23" s="72" t="n">
        <v>45718</v>
      </c>
      <c r="C23" s="39" t="s">
        <v>70</v>
      </c>
      <c r="D23" s="39" t="s">
        <v>46</v>
      </c>
      <c r="E23" s="39" t="s">
        <v>34</v>
      </c>
      <c r="F23" s="39" t="s">
        <v>41</v>
      </c>
      <c r="G23" s="73" t="n">
        <v>16</v>
      </c>
      <c r="H23" s="39" t="s">
        <v>410</v>
      </c>
      <c r="I23" s="39" t="s">
        <v>108</v>
      </c>
      <c r="J23" s="39" t="s">
        <v>98</v>
      </c>
      <c r="K23" s="39" t="s">
        <v>409</v>
      </c>
      <c r="L23" s="39" t="s">
        <v>408</v>
      </c>
    </row>
    <row r="24" customFormat="false" ht="15" hidden="false" customHeight="false" outlineLevel="0" collapsed="false">
      <c r="A24" s="33" t="s">
        <v>76</v>
      </c>
      <c r="B24" s="74" t="n">
        <v>45729</v>
      </c>
      <c r="C24" s="33" t="s">
        <v>70</v>
      </c>
      <c r="D24" s="33" t="s">
        <v>35</v>
      </c>
      <c r="E24" s="33" t="s">
        <v>30</v>
      </c>
      <c r="F24" s="33" t="s">
        <v>41</v>
      </c>
      <c r="G24" s="75" t="n">
        <v>5</v>
      </c>
      <c r="H24" s="33" t="s">
        <v>411</v>
      </c>
      <c r="I24" s="33" t="s">
        <v>75</v>
      </c>
      <c r="J24" s="33" t="s">
        <v>80</v>
      </c>
      <c r="K24" s="33"/>
      <c r="L24" s="33" t="s">
        <v>412</v>
      </c>
    </row>
    <row r="25" customFormat="false" ht="15" hidden="false" customHeight="false" outlineLevel="0" collapsed="false">
      <c r="A25" s="25" t="s">
        <v>183</v>
      </c>
      <c r="B25" s="26" t="n">
        <v>45734</v>
      </c>
      <c r="C25" s="25" t="s">
        <v>114</v>
      </c>
      <c r="D25" s="25" t="s">
        <v>37</v>
      </c>
      <c r="E25" s="25" t="s">
        <v>42</v>
      </c>
      <c r="F25" s="25" t="s">
        <v>44</v>
      </c>
      <c r="G25" s="76" t="n">
        <v>0</v>
      </c>
      <c r="H25" s="25" t="s">
        <v>413</v>
      </c>
      <c r="I25" s="25" t="s">
        <v>75</v>
      </c>
      <c r="J25" s="25" t="s">
        <v>80</v>
      </c>
      <c r="K25" s="25"/>
      <c r="L25" s="25" t="s">
        <v>412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449"/>
    <pageSetUpPr fitToPage="false"/>
  </sheetPr>
  <dimension ref="A1:C1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0"/>
    <col collapsed="false" customWidth="true" hidden="false" outlineLevel="0" max="3" min="3" style="0" width="34"/>
  </cols>
  <sheetData>
    <row r="1" customFormat="false" ht="43.5" hidden="false" customHeight="true" outlineLevel="0" collapsed="false">
      <c r="A1" s="23" t="s">
        <v>414</v>
      </c>
      <c r="B1" s="23"/>
      <c r="C1" s="23"/>
    </row>
    <row r="2" customFormat="false" ht="19.5" hidden="false" customHeight="true" outlineLevel="0" collapsed="false">
      <c r="A2" s="2" t="s">
        <v>415</v>
      </c>
      <c r="B2" s="2"/>
      <c r="C2" s="2"/>
    </row>
    <row r="4" customFormat="false" ht="21.75" hidden="false" customHeight="true" outlineLevel="0" collapsed="false">
      <c r="A4" s="77" t="s">
        <v>416</v>
      </c>
      <c r="B4" s="77"/>
      <c r="C4" s="77"/>
    </row>
    <row r="6" customFormat="false" ht="25.5" hidden="false" customHeight="true" outlineLevel="0" collapsed="false">
      <c r="A6" s="59" t="s">
        <v>417</v>
      </c>
      <c r="B6" s="59"/>
      <c r="C6" s="59"/>
    </row>
    <row r="7" customFormat="false" ht="19.5" hidden="false" customHeight="true" outlineLevel="0" collapsed="false">
      <c r="A7" s="78" t="s">
        <v>418</v>
      </c>
      <c r="B7" s="79" t="s">
        <v>419</v>
      </c>
      <c r="C7" s="79"/>
    </row>
    <row r="8" customFormat="false" ht="18" hidden="false" customHeight="true" outlineLevel="0" collapsed="false">
      <c r="A8" s="80" t="s">
        <v>420</v>
      </c>
      <c r="B8" s="80"/>
      <c r="C8" s="80"/>
    </row>
    <row r="9" customFormat="false" ht="18" hidden="false" customHeight="true" outlineLevel="0" collapsed="false">
      <c r="A9" s="80" t="s">
        <v>421</v>
      </c>
      <c r="B9" s="80"/>
      <c r="C9" s="80"/>
    </row>
    <row r="10" customFormat="false" ht="31.5" hidden="false" customHeight="true" outlineLevel="0" collapsed="false">
      <c r="A10" s="81" t="s">
        <v>422</v>
      </c>
      <c r="B10" s="81"/>
      <c r="C10" s="81"/>
    </row>
    <row r="12" customFormat="false" ht="25.5" hidden="false" customHeight="true" outlineLevel="0" collapsed="false">
      <c r="A12" s="59" t="s">
        <v>423</v>
      </c>
      <c r="B12" s="59"/>
      <c r="C12" s="59"/>
    </row>
    <row r="13" customFormat="false" ht="19.5" hidden="false" customHeight="true" outlineLevel="0" collapsed="false">
      <c r="A13" s="78" t="s">
        <v>418</v>
      </c>
      <c r="B13" s="79" t="s">
        <v>424</v>
      </c>
      <c r="C13" s="79"/>
    </row>
    <row r="14" customFormat="false" ht="18" hidden="false" customHeight="true" outlineLevel="0" collapsed="false">
      <c r="A14" s="80" t="s">
        <v>425</v>
      </c>
      <c r="B14" s="80"/>
      <c r="C14" s="80"/>
    </row>
    <row r="15" customFormat="false" ht="18" hidden="false" customHeight="true" outlineLevel="0" collapsed="false">
      <c r="A15" s="80" t="s">
        <v>426</v>
      </c>
      <c r="B15" s="80"/>
      <c r="C15" s="80"/>
    </row>
    <row r="16" customFormat="false" ht="18" hidden="false" customHeight="true" outlineLevel="0" collapsed="false">
      <c r="A16" s="80" t="s">
        <v>427</v>
      </c>
      <c r="B16" s="80"/>
      <c r="C16" s="80"/>
    </row>
    <row r="17" customFormat="false" ht="18" hidden="false" customHeight="true" outlineLevel="0" collapsed="false">
      <c r="A17" s="80" t="s">
        <v>428</v>
      </c>
      <c r="B17" s="80"/>
      <c r="C17" s="80"/>
    </row>
    <row r="18" customFormat="false" ht="18" hidden="false" customHeight="true" outlineLevel="0" collapsed="false">
      <c r="A18" s="80" t="s">
        <v>429</v>
      </c>
      <c r="B18" s="80"/>
      <c r="C18" s="80"/>
    </row>
    <row r="19" customFormat="false" ht="31.5" hidden="false" customHeight="true" outlineLevel="0" collapsed="false">
      <c r="A19" s="81" t="s">
        <v>430</v>
      </c>
      <c r="B19" s="81"/>
      <c r="C19" s="81"/>
    </row>
    <row r="21" customFormat="false" ht="25.5" hidden="false" customHeight="true" outlineLevel="0" collapsed="false">
      <c r="A21" s="59" t="s">
        <v>431</v>
      </c>
      <c r="B21" s="59"/>
      <c r="C21" s="59"/>
    </row>
    <row r="22" customFormat="false" ht="19.5" hidden="false" customHeight="true" outlineLevel="0" collapsed="false">
      <c r="A22" s="78" t="s">
        <v>418</v>
      </c>
      <c r="B22" s="79" t="s">
        <v>432</v>
      </c>
      <c r="C22" s="79"/>
    </row>
    <row r="23" customFormat="false" ht="18" hidden="false" customHeight="true" outlineLevel="0" collapsed="false">
      <c r="A23" s="80" t="s">
        <v>433</v>
      </c>
      <c r="B23" s="80"/>
      <c r="C23" s="80"/>
    </row>
    <row r="24" customFormat="false" ht="18" hidden="false" customHeight="true" outlineLevel="0" collapsed="false">
      <c r="A24" s="80" t="s">
        <v>426</v>
      </c>
      <c r="B24" s="80"/>
      <c r="C24" s="80"/>
    </row>
    <row r="25" customFormat="false" ht="18" hidden="false" customHeight="true" outlineLevel="0" collapsed="false">
      <c r="A25" s="80" t="s">
        <v>427</v>
      </c>
      <c r="B25" s="80"/>
      <c r="C25" s="80"/>
    </row>
    <row r="26" customFormat="false" ht="18" hidden="false" customHeight="true" outlineLevel="0" collapsed="false">
      <c r="A26" s="80" t="s">
        <v>434</v>
      </c>
      <c r="B26" s="80"/>
      <c r="C26" s="80"/>
    </row>
    <row r="27" customFormat="false" ht="18" hidden="false" customHeight="true" outlineLevel="0" collapsed="false">
      <c r="A27" s="80" t="s">
        <v>429</v>
      </c>
      <c r="B27" s="80"/>
      <c r="C27" s="80"/>
    </row>
    <row r="28" customFormat="false" ht="31.5" hidden="false" customHeight="true" outlineLevel="0" collapsed="false">
      <c r="A28" s="81" t="s">
        <v>435</v>
      </c>
      <c r="B28" s="81"/>
      <c r="C28" s="81"/>
    </row>
    <row r="30" customFormat="false" ht="25.5" hidden="false" customHeight="true" outlineLevel="0" collapsed="false">
      <c r="A30" s="82" t="s">
        <v>436</v>
      </c>
      <c r="B30" s="82"/>
      <c r="C30" s="82"/>
    </row>
    <row r="31" customFormat="false" ht="19.5" hidden="false" customHeight="true" outlineLevel="0" collapsed="false">
      <c r="A31" s="78" t="s">
        <v>418</v>
      </c>
      <c r="B31" s="79" t="s">
        <v>437</v>
      </c>
      <c r="C31" s="79"/>
    </row>
    <row r="32" customFormat="false" ht="18" hidden="false" customHeight="true" outlineLevel="0" collapsed="false">
      <c r="A32" s="80" t="s">
        <v>438</v>
      </c>
      <c r="B32" s="80"/>
      <c r="C32" s="80"/>
    </row>
    <row r="33" customFormat="false" ht="18" hidden="false" customHeight="true" outlineLevel="0" collapsed="false">
      <c r="A33" s="80" t="s">
        <v>439</v>
      </c>
      <c r="B33" s="80"/>
      <c r="C33" s="80"/>
    </row>
    <row r="34" customFormat="false" ht="18" hidden="false" customHeight="true" outlineLevel="0" collapsed="false">
      <c r="A34" s="80" t="s">
        <v>440</v>
      </c>
      <c r="B34" s="80"/>
      <c r="C34" s="80"/>
    </row>
    <row r="35" customFormat="false" ht="18" hidden="false" customHeight="true" outlineLevel="0" collapsed="false">
      <c r="A35" s="80" t="s">
        <v>441</v>
      </c>
      <c r="B35" s="80"/>
      <c r="C35" s="80"/>
    </row>
    <row r="36" customFormat="false" ht="18" hidden="false" customHeight="true" outlineLevel="0" collapsed="false">
      <c r="A36" s="80" t="s">
        <v>442</v>
      </c>
      <c r="B36" s="80"/>
      <c r="C36" s="80"/>
    </row>
    <row r="37" customFormat="false" ht="18" hidden="false" customHeight="true" outlineLevel="0" collapsed="false">
      <c r="A37" s="80" t="s">
        <v>429</v>
      </c>
      <c r="B37" s="80"/>
      <c r="C37" s="80"/>
    </row>
    <row r="38" customFormat="false" ht="31.5" hidden="false" customHeight="true" outlineLevel="0" collapsed="false">
      <c r="A38" s="81" t="s">
        <v>443</v>
      </c>
      <c r="B38" s="81"/>
      <c r="C38" s="81"/>
    </row>
    <row r="40" customFormat="false" ht="25.5" hidden="false" customHeight="true" outlineLevel="0" collapsed="false">
      <c r="A40" s="82" t="s">
        <v>444</v>
      </c>
      <c r="B40" s="82"/>
      <c r="C40" s="82"/>
    </row>
    <row r="41" customFormat="false" ht="19.5" hidden="false" customHeight="true" outlineLevel="0" collapsed="false">
      <c r="A41" s="78" t="s">
        <v>418</v>
      </c>
      <c r="B41" s="79" t="s">
        <v>445</v>
      </c>
      <c r="C41" s="79"/>
    </row>
    <row r="42" customFormat="false" ht="18" hidden="false" customHeight="true" outlineLevel="0" collapsed="false">
      <c r="A42" s="80" t="s">
        <v>446</v>
      </c>
      <c r="B42" s="80"/>
      <c r="C42" s="80"/>
    </row>
    <row r="43" customFormat="false" ht="18" hidden="false" customHeight="true" outlineLevel="0" collapsed="false">
      <c r="A43" s="80" t="s">
        <v>426</v>
      </c>
      <c r="B43" s="80"/>
      <c r="C43" s="80"/>
    </row>
    <row r="44" customFormat="false" ht="18" hidden="false" customHeight="true" outlineLevel="0" collapsed="false">
      <c r="A44" s="80" t="s">
        <v>427</v>
      </c>
      <c r="B44" s="80"/>
      <c r="C44" s="80"/>
    </row>
    <row r="45" customFormat="false" ht="18" hidden="false" customHeight="true" outlineLevel="0" collapsed="false">
      <c r="A45" s="80" t="s">
        <v>447</v>
      </c>
      <c r="B45" s="80"/>
      <c r="C45" s="80"/>
    </row>
    <row r="46" customFormat="false" ht="18" hidden="false" customHeight="true" outlineLevel="0" collapsed="false">
      <c r="A46" s="80" t="s">
        <v>429</v>
      </c>
      <c r="B46" s="80"/>
      <c r="C46" s="80"/>
    </row>
    <row r="47" customFormat="false" ht="31.5" hidden="false" customHeight="true" outlineLevel="0" collapsed="false">
      <c r="A47" s="81" t="s">
        <v>448</v>
      </c>
      <c r="B47" s="81"/>
      <c r="C47" s="81"/>
    </row>
    <row r="49" customFormat="false" ht="25.5" hidden="false" customHeight="true" outlineLevel="0" collapsed="false">
      <c r="A49" s="82" t="s">
        <v>449</v>
      </c>
      <c r="B49" s="82"/>
      <c r="C49" s="82"/>
    </row>
    <row r="50" customFormat="false" ht="19.5" hidden="false" customHeight="true" outlineLevel="0" collapsed="false">
      <c r="A50" s="78" t="s">
        <v>418</v>
      </c>
      <c r="B50" s="79" t="s">
        <v>450</v>
      </c>
      <c r="C50" s="79"/>
    </row>
    <row r="51" customFormat="false" ht="18" hidden="false" customHeight="true" outlineLevel="0" collapsed="false">
      <c r="A51" s="80" t="s">
        <v>451</v>
      </c>
      <c r="B51" s="80"/>
      <c r="C51" s="80"/>
    </row>
    <row r="52" customFormat="false" ht="18" hidden="false" customHeight="true" outlineLevel="0" collapsed="false">
      <c r="A52" s="80" t="s">
        <v>452</v>
      </c>
      <c r="B52" s="80"/>
      <c r="C52" s="80"/>
    </row>
    <row r="53" customFormat="false" ht="18" hidden="false" customHeight="true" outlineLevel="0" collapsed="false">
      <c r="A53" s="80" t="s">
        <v>453</v>
      </c>
      <c r="B53" s="80"/>
      <c r="C53" s="80"/>
    </row>
    <row r="54" customFormat="false" ht="18" hidden="false" customHeight="true" outlineLevel="0" collapsed="false">
      <c r="A54" s="80" t="s">
        <v>454</v>
      </c>
      <c r="B54" s="80"/>
      <c r="C54" s="80"/>
    </row>
    <row r="55" customFormat="false" ht="18" hidden="false" customHeight="true" outlineLevel="0" collapsed="false">
      <c r="A55" s="80" t="s">
        <v>429</v>
      </c>
      <c r="B55" s="80"/>
      <c r="C55" s="80"/>
    </row>
    <row r="56" customFormat="false" ht="31.5" hidden="false" customHeight="true" outlineLevel="0" collapsed="false">
      <c r="A56" s="81" t="s">
        <v>455</v>
      </c>
      <c r="B56" s="81"/>
      <c r="C56" s="81"/>
    </row>
    <row r="58" customFormat="false" ht="25.5" hidden="false" customHeight="true" outlineLevel="0" collapsed="false">
      <c r="A58" s="82" t="s">
        <v>456</v>
      </c>
      <c r="B58" s="82"/>
      <c r="C58" s="82"/>
    </row>
    <row r="59" customFormat="false" ht="19.5" hidden="false" customHeight="true" outlineLevel="0" collapsed="false">
      <c r="A59" s="78" t="s">
        <v>418</v>
      </c>
      <c r="B59" s="79" t="s">
        <v>457</v>
      </c>
      <c r="C59" s="79"/>
    </row>
    <row r="60" customFormat="false" ht="18" hidden="false" customHeight="true" outlineLevel="0" collapsed="false">
      <c r="A60" s="80" t="s">
        <v>458</v>
      </c>
      <c r="B60" s="80"/>
      <c r="C60" s="80"/>
    </row>
    <row r="61" customFormat="false" ht="18" hidden="false" customHeight="true" outlineLevel="0" collapsed="false">
      <c r="A61" s="80" t="s">
        <v>452</v>
      </c>
      <c r="B61" s="80"/>
      <c r="C61" s="80"/>
    </row>
    <row r="62" customFormat="false" ht="18" hidden="false" customHeight="true" outlineLevel="0" collapsed="false">
      <c r="A62" s="80" t="s">
        <v>459</v>
      </c>
      <c r="B62" s="80"/>
      <c r="C62" s="80"/>
    </row>
    <row r="63" customFormat="false" ht="18" hidden="false" customHeight="true" outlineLevel="0" collapsed="false">
      <c r="A63" s="80" t="s">
        <v>460</v>
      </c>
      <c r="B63" s="80"/>
      <c r="C63" s="80"/>
    </row>
    <row r="64" customFormat="false" ht="18" hidden="false" customHeight="true" outlineLevel="0" collapsed="false">
      <c r="A64" s="80" t="s">
        <v>429</v>
      </c>
      <c r="B64" s="80"/>
      <c r="C64" s="80"/>
    </row>
    <row r="65" customFormat="false" ht="31.5" hidden="false" customHeight="true" outlineLevel="0" collapsed="false">
      <c r="A65" s="81" t="s">
        <v>461</v>
      </c>
      <c r="B65" s="81"/>
      <c r="C65" s="81"/>
    </row>
    <row r="67" customFormat="false" ht="25.5" hidden="false" customHeight="true" outlineLevel="0" collapsed="false">
      <c r="A67" s="83" t="s">
        <v>462</v>
      </c>
      <c r="B67" s="83"/>
      <c r="C67" s="83"/>
    </row>
    <row r="68" customFormat="false" ht="19.5" hidden="false" customHeight="true" outlineLevel="0" collapsed="false">
      <c r="A68" s="78" t="s">
        <v>418</v>
      </c>
      <c r="B68" s="79" t="s">
        <v>463</v>
      </c>
      <c r="C68" s="79"/>
    </row>
    <row r="69" customFormat="false" ht="18" hidden="false" customHeight="true" outlineLevel="0" collapsed="false">
      <c r="A69" s="80" t="s">
        <v>464</v>
      </c>
      <c r="B69" s="80"/>
      <c r="C69" s="80"/>
    </row>
    <row r="70" customFormat="false" ht="18" hidden="false" customHeight="true" outlineLevel="0" collapsed="false">
      <c r="A70" s="80" t="s">
        <v>426</v>
      </c>
      <c r="B70" s="80"/>
      <c r="C70" s="80"/>
    </row>
    <row r="71" customFormat="false" ht="18" hidden="false" customHeight="true" outlineLevel="0" collapsed="false">
      <c r="A71" s="80" t="s">
        <v>427</v>
      </c>
      <c r="B71" s="80"/>
      <c r="C71" s="80"/>
    </row>
    <row r="72" customFormat="false" ht="18" hidden="false" customHeight="true" outlineLevel="0" collapsed="false">
      <c r="A72" s="80" t="s">
        <v>465</v>
      </c>
      <c r="B72" s="80"/>
      <c r="C72" s="80"/>
    </row>
    <row r="73" customFormat="false" ht="18" hidden="false" customHeight="true" outlineLevel="0" collapsed="false">
      <c r="A73" s="80" t="s">
        <v>429</v>
      </c>
      <c r="B73" s="80"/>
      <c r="C73" s="80"/>
    </row>
    <row r="74" customFormat="false" ht="31.5" hidden="false" customHeight="true" outlineLevel="0" collapsed="false">
      <c r="A74" s="81" t="s">
        <v>466</v>
      </c>
      <c r="B74" s="81"/>
      <c r="C74" s="81"/>
    </row>
    <row r="76" customFormat="false" ht="25.5" hidden="false" customHeight="true" outlineLevel="0" collapsed="false">
      <c r="A76" s="83" t="s">
        <v>467</v>
      </c>
      <c r="B76" s="83"/>
      <c r="C76" s="83"/>
    </row>
    <row r="77" customFormat="false" ht="19.5" hidden="false" customHeight="true" outlineLevel="0" collapsed="false">
      <c r="A77" s="78" t="s">
        <v>418</v>
      </c>
      <c r="B77" s="79" t="s">
        <v>468</v>
      </c>
      <c r="C77" s="79"/>
    </row>
    <row r="78" customFormat="false" ht="18" hidden="false" customHeight="true" outlineLevel="0" collapsed="false">
      <c r="A78" s="80" t="s">
        <v>469</v>
      </c>
      <c r="B78" s="80"/>
      <c r="C78" s="80"/>
    </row>
    <row r="79" customFormat="false" ht="18" hidden="false" customHeight="true" outlineLevel="0" collapsed="false">
      <c r="A79" s="80" t="s">
        <v>426</v>
      </c>
      <c r="B79" s="80"/>
      <c r="C79" s="80"/>
    </row>
    <row r="80" customFormat="false" ht="18" hidden="false" customHeight="true" outlineLevel="0" collapsed="false">
      <c r="A80" s="80" t="s">
        <v>427</v>
      </c>
      <c r="B80" s="80"/>
      <c r="C80" s="80"/>
    </row>
    <row r="81" customFormat="false" ht="18" hidden="false" customHeight="true" outlineLevel="0" collapsed="false">
      <c r="A81" s="80" t="s">
        <v>470</v>
      </c>
      <c r="B81" s="80"/>
      <c r="C81" s="80"/>
    </row>
    <row r="82" customFormat="false" ht="18" hidden="false" customHeight="true" outlineLevel="0" collapsed="false">
      <c r="A82" s="80" t="s">
        <v>471</v>
      </c>
      <c r="B82" s="80"/>
      <c r="C82" s="80"/>
    </row>
    <row r="83" customFormat="false" ht="18" hidden="false" customHeight="true" outlineLevel="0" collapsed="false">
      <c r="A83" s="80" t="s">
        <v>429</v>
      </c>
      <c r="B83" s="80"/>
      <c r="C83" s="80"/>
    </row>
    <row r="84" customFormat="false" ht="31.5" hidden="false" customHeight="true" outlineLevel="0" collapsed="false">
      <c r="A84" s="81" t="s">
        <v>472</v>
      </c>
      <c r="B84" s="81"/>
      <c r="C84" s="81"/>
    </row>
    <row r="86" customFormat="false" ht="25.5" hidden="false" customHeight="true" outlineLevel="0" collapsed="false">
      <c r="A86" s="84" t="s">
        <v>473</v>
      </c>
      <c r="B86" s="84"/>
      <c r="C86" s="84"/>
    </row>
    <row r="87" customFormat="false" ht="19.5" hidden="false" customHeight="true" outlineLevel="0" collapsed="false">
      <c r="A87" s="78" t="s">
        <v>418</v>
      </c>
      <c r="B87" s="79" t="s">
        <v>474</v>
      </c>
      <c r="C87" s="79"/>
    </row>
    <row r="88" customFormat="false" ht="18" hidden="false" customHeight="true" outlineLevel="0" collapsed="false">
      <c r="A88" s="80" t="s">
        <v>475</v>
      </c>
      <c r="B88" s="80"/>
      <c r="C88" s="80"/>
    </row>
    <row r="89" customFormat="false" ht="18" hidden="false" customHeight="true" outlineLevel="0" collapsed="false">
      <c r="A89" s="80" t="s">
        <v>426</v>
      </c>
      <c r="B89" s="80"/>
      <c r="C89" s="80"/>
    </row>
    <row r="90" customFormat="false" ht="18" hidden="false" customHeight="true" outlineLevel="0" collapsed="false">
      <c r="A90" s="80" t="s">
        <v>427</v>
      </c>
      <c r="B90" s="80"/>
      <c r="C90" s="80"/>
    </row>
    <row r="91" customFormat="false" ht="18" hidden="false" customHeight="true" outlineLevel="0" collapsed="false">
      <c r="A91" s="80" t="s">
        <v>470</v>
      </c>
      <c r="B91" s="80"/>
      <c r="C91" s="80"/>
    </row>
    <row r="92" customFormat="false" ht="18" hidden="false" customHeight="true" outlineLevel="0" collapsed="false">
      <c r="A92" s="80" t="s">
        <v>476</v>
      </c>
      <c r="B92" s="80"/>
      <c r="C92" s="80"/>
    </row>
    <row r="93" customFormat="false" ht="18" hidden="false" customHeight="true" outlineLevel="0" collapsed="false">
      <c r="A93" s="80" t="s">
        <v>429</v>
      </c>
      <c r="B93" s="80"/>
      <c r="C93" s="80"/>
    </row>
    <row r="94" customFormat="false" ht="31.5" hidden="false" customHeight="true" outlineLevel="0" collapsed="false">
      <c r="A94" s="81" t="s">
        <v>477</v>
      </c>
      <c r="B94" s="81"/>
      <c r="C94" s="81"/>
    </row>
    <row r="96" customFormat="false" ht="25.5" hidden="false" customHeight="true" outlineLevel="0" collapsed="false">
      <c r="A96" s="85" t="s">
        <v>478</v>
      </c>
      <c r="B96" s="85"/>
      <c r="C96" s="85"/>
    </row>
    <row r="97" customFormat="false" ht="19.5" hidden="false" customHeight="true" outlineLevel="0" collapsed="false">
      <c r="A97" s="78" t="s">
        <v>418</v>
      </c>
      <c r="B97" s="79" t="s">
        <v>479</v>
      </c>
      <c r="C97" s="79"/>
    </row>
    <row r="98" customFormat="false" ht="18" hidden="false" customHeight="true" outlineLevel="0" collapsed="false">
      <c r="A98" s="80" t="s">
        <v>480</v>
      </c>
      <c r="B98" s="80"/>
      <c r="C98" s="80"/>
    </row>
    <row r="99" customFormat="false" ht="18" hidden="false" customHeight="true" outlineLevel="0" collapsed="false">
      <c r="A99" s="80" t="s">
        <v>439</v>
      </c>
      <c r="B99" s="80"/>
      <c r="C99" s="80"/>
    </row>
    <row r="100" customFormat="false" ht="18" hidden="false" customHeight="true" outlineLevel="0" collapsed="false">
      <c r="A100" s="80" t="s">
        <v>481</v>
      </c>
      <c r="B100" s="80"/>
      <c r="C100" s="80"/>
    </row>
    <row r="101" customFormat="false" ht="18" hidden="false" customHeight="true" outlineLevel="0" collapsed="false">
      <c r="A101" s="80" t="s">
        <v>482</v>
      </c>
      <c r="B101" s="80"/>
      <c r="C101" s="80"/>
    </row>
    <row r="102" customFormat="false" ht="18" hidden="false" customHeight="true" outlineLevel="0" collapsed="false">
      <c r="A102" s="80" t="s">
        <v>483</v>
      </c>
      <c r="B102" s="80"/>
      <c r="C102" s="80"/>
    </row>
    <row r="103" customFormat="false" ht="18" hidden="false" customHeight="true" outlineLevel="0" collapsed="false">
      <c r="A103" s="80" t="s">
        <v>484</v>
      </c>
      <c r="B103" s="80"/>
      <c r="C103" s="80"/>
    </row>
    <row r="104" customFormat="false" ht="18" hidden="false" customHeight="true" outlineLevel="0" collapsed="false">
      <c r="A104" s="80" t="s">
        <v>485</v>
      </c>
      <c r="B104" s="80"/>
      <c r="C104" s="80"/>
    </row>
    <row r="105" customFormat="false" ht="18" hidden="false" customHeight="true" outlineLevel="0" collapsed="false">
      <c r="A105" s="80" t="s">
        <v>486</v>
      </c>
      <c r="B105" s="80"/>
      <c r="C105" s="80"/>
    </row>
    <row r="106" customFormat="false" ht="18" hidden="false" customHeight="true" outlineLevel="0" collapsed="false">
      <c r="A106" s="80" t="s">
        <v>442</v>
      </c>
      <c r="B106" s="80"/>
      <c r="C106" s="80"/>
    </row>
    <row r="107" customFormat="false" ht="18" hidden="false" customHeight="true" outlineLevel="0" collapsed="false">
      <c r="A107" s="80" t="s">
        <v>429</v>
      </c>
      <c r="B107" s="80"/>
      <c r="C107" s="80"/>
    </row>
    <row r="108" customFormat="false" ht="31.5" hidden="false" customHeight="true" outlineLevel="0" collapsed="false">
      <c r="A108" s="81" t="s">
        <v>487</v>
      </c>
      <c r="B108" s="81"/>
      <c r="C108" s="81"/>
    </row>
    <row r="110" customFormat="false" ht="25.5" hidden="false" customHeight="true" outlineLevel="0" collapsed="false">
      <c r="A110" s="85" t="s">
        <v>488</v>
      </c>
      <c r="B110" s="85"/>
      <c r="C110" s="85"/>
    </row>
    <row r="111" customFormat="false" ht="19.5" hidden="false" customHeight="true" outlineLevel="0" collapsed="false">
      <c r="A111" s="78" t="s">
        <v>418</v>
      </c>
      <c r="B111" s="79" t="s">
        <v>489</v>
      </c>
      <c r="C111" s="79"/>
    </row>
    <row r="112" customFormat="false" ht="18" hidden="false" customHeight="true" outlineLevel="0" collapsed="false">
      <c r="A112" s="80" t="s">
        <v>490</v>
      </c>
      <c r="B112" s="80"/>
      <c r="C112" s="80"/>
    </row>
    <row r="113" customFormat="false" ht="18" hidden="false" customHeight="true" outlineLevel="0" collapsed="false">
      <c r="A113" s="80" t="s">
        <v>452</v>
      </c>
      <c r="B113" s="80"/>
      <c r="C113" s="80"/>
    </row>
    <row r="114" customFormat="false" ht="18" hidden="false" customHeight="true" outlineLevel="0" collapsed="false">
      <c r="A114" s="80" t="s">
        <v>491</v>
      </c>
      <c r="B114" s="80"/>
      <c r="C114" s="80"/>
    </row>
    <row r="115" customFormat="false" ht="18" hidden="false" customHeight="true" outlineLevel="0" collapsed="false">
      <c r="A115" s="80" t="s">
        <v>492</v>
      </c>
      <c r="B115" s="80"/>
      <c r="C115" s="80"/>
    </row>
    <row r="116" customFormat="false" ht="18" hidden="false" customHeight="true" outlineLevel="0" collapsed="false">
      <c r="A116" s="80" t="s">
        <v>429</v>
      </c>
      <c r="B116" s="80"/>
      <c r="C116" s="80"/>
    </row>
    <row r="117" customFormat="false" ht="31.5" hidden="false" customHeight="true" outlineLevel="0" collapsed="false">
      <c r="A117" s="81" t="s">
        <v>493</v>
      </c>
      <c r="B117" s="81"/>
      <c r="C117" s="81"/>
    </row>
    <row r="119" customFormat="false" ht="25.5" hidden="false" customHeight="true" outlineLevel="0" collapsed="false">
      <c r="A119" s="85" t="s">
        <v>494</v>
      </c>
      <c r="B119" s="85"/>
      <c r="C119" s="85"/>
    </row>
    <row r="120" customFormat="false" ht="19.5" hidden="false" customHeight="true" outlineLevel="0" collapsed="false">
      <c r="A120" s="78" t="s">
        <v>418</v>
      </c>
      <c r="B120" s="79" t="s">
        <v>495</v>
      </c>
      <c r="C120" s="79"/>
    </row>
    <row r="121" customFormat="false" ht="18" hidden="false" customHeight="true" outlineLevel="0" collapsed="false">
      <c r="A121" s="80" t="s">
        <v>496</v>
      </c>
      <c r="B121" s="80"/>
      <c r="C121" s="80"/>
    </row>
    <row r="122" customFormat="false" ht="18" hidden="false" customHeight="true" outlineLevel="0" collapsed="false">
      <c r="A122" s="80" t="s">
        <v>439</v>
      </c>
      <c r="B122" s="80"/>
      <c r="C122" s="80"/>
    </row>
    <row r="123" customFormat="false" ht="18" hidden="false" customHeight="true" outlineLevel="0" collapsed="false">
      <c r="A123" s="80" t="s">
        <v>497</v>
      </c>
      <c r="B123" s="80"/>
      <c r="C123" s="80"/>
    </row>
    <row r="124" customFormat="false" ht="18" hidden="false" customHeight="true" outlineLevel="0" collapsed="false">
      <c r="A124" s="80" t="s">
        <v>441</v>
      </c>
      <c r="B124" s="80"/>
      <c r="C124" s="80"/>
    </row>
    <row r="125" customFormat="false" ht="18" hidden="false" customHeight="true" outlineLevel="0" collapsed="false">
      <c r="A125" s="80" t="s">
        <v>442</v>
      </c>
      <c r="B125" s="80"/>
      <c r="C125" s="80"/>
    </row>
    <row r="126" customFormat="false" ht="18" hidden="false" customHeight="true" outlineLevel="0" collapsed="false">
      <c r="A126" s="80" t="s">
        <v>429</v>
      </c>
      <c r="B126" s="80"/>
      <c r="C126" s="80"/>
    </row>
    <row r="127" customFormat="false" ht="31.5" hidden="false" customHeight="true" outlineLevel="0" collapsed="false">
      <c r="A127" s="81" t="s">
        <v>498</v>
      </c>
      <c r="B127" s="81"/>
      <c r="C127" s="81"/>
    </row>
    <row r="129" customFormat="false" ht="25.5" hidden="false" customHeight="true" outlineLevel="0" collapsed="false">
      <c r="A129" s="84" t="s">
        <v>499</v>
      </c>
      <c r="B129" s="84"/>
      <c r="C129" s="84"/>
    </row>
    <row r="130" customFormat="false" ht="19.5" hidden="false" customHeight="true" outlineLevel="0" collapsed="false">
      <c r="A130" s="78" t="s">
        <v>418</v>
      </c>
      <c r="B130" s="79" t="s">
        <v>500</v>
      </c>
      <c r="C130" s="79"/>
    </row>
    <row r="131" customFormat="false" ht="18" hidden="false" customHeight="true" outlineLevel="0" collapsed="false">
      <c r="A131" s="80" t="s">
        <v>501</v>
      </c>
      <c r="B131" s="80"/>
      <c r="C131" s="80"/>
    </row>
    <row r="132" customFormat="false" ht="18" hidden="false" customHeight="true" outlineLevel="0" collapsed="false">
      <c r="A132" s="80" t="s">
        <v>426</v>
      </c>
      <c r="B132" s="80"/>
      <c r="C132" s="80"/>
    </row>
    <row r="133" customFormat="false" ht="18" hidden="false" customHeight="true" outlineLevel="0" collapsed="false">
      <c r="A133" s="80" t="s">
        <v>502</v>
      </c>
      <c r="B133" s="80"/>
      <c r="C133" s="80"/>
    </row>
    <row r="134" customFormat="false" ht="18" hidden="false" customHeight="true" outlineLevel="0" collapsed="false">
      <c r="A134" s="80" t="s">
        <v>503</v>
      </c>
      <c r="B134" s="80"/>
      <c r="C134" s="80"/>
    </row>
    <row r="135" customFormat="false" ht="18" hidden="false" customHeight="true" outlineLevel="0" collapsed="false">
      <c r="A135" s="80" t="s">
        <v>429</v>
      </c>
      <c r="B135" s="80"/>
      <c r="C135" s="80"/>
    </row>
    <row r="136" customFormat="false" ht="31.5" hidden="false" customHeight="true" outlineLevel="0" collapsed="false">
      <c r="A136" s="81" t="s">
        <v>504</v>
      </c>
      <c r="B136" s="81"/>
      <c r="C136" s="81"/>
    </row>
    <row r="138" customFormat="false" ht="25.5" hidden="false" customHeight="true" outlineLevel="0" collapsed="false">
      <c r="A138" s="86" t="s">
        <v>505</v>
      </c>
      <c r="B138" s="86"/>
      <c r="C138" s="86"/>
    </row>
    <row r="139" customFormat="false" ht="19.5" hidden="false" customHeight="true" outlineLevel="0" collapsed="false">
      <c r="A139" s="78" t="s">
        <v>418</v>
      </c>
      <c r="B139" s="79" t="s">
        <v>506</v>
      </c>
      <c r="C139" s="79"/>
    </row>
    <row r="140" customFormat="false" ht="18" hidden="false" customHeight="true" outlineLevel="0" collapsed="false">
      <c r="A140" s="80" t="s">
        <v>507</v>
      </c>
      <c r="B140" s="80"/>
      <c r="C140" s="80"/>
    </row>
    <row r="141" customFormat="false" ht="18" hidden="false" customHeight="true" outlineLevel="0" collapsed="false">
      <c r="A141" s="80" t="s">
        <v>439</v>
      </c>
      <c r="B141" s="80"/>
      <c r="C141" s="80"/>
    </row>
    <row r="142" customFormat="false" ht="18" hidden="false" customHeight="true" outlineLevel="0" collapsed="false">
      <c r="A142" s="80" t="s">
        <v>481</v>
      </c>
      <c r="B142" s="80"/>
      <c r="C142" s="80"/>
    </row>
    <row r="143" customFormat="false" ht="18" hidden="false" customHeight="true" outlineLevel="0" collapsed="false">
      <c r="A143" s="80" t="s">
        <v>482</v>
      </c>
      <c r="B143" s="80"/>
      <c r="C143" s="80"/>
    </row>
    <row r="144" customFormat="false" ht="18" hidden="false" customHeight="true" outlineLevel="0" collapsed="false">
      <c r="A144" s="80" t="s">
        <v>508</v>
      </c>
      <c r="B144" s="80"/>
      <c r="C144" s="80"/>
    </row>
    <row r="145" customFormat="false" ht="18" hidden="false" customHeight="true" outlineLevel="0" collapsed="false">
      <c r="A145" s="80" t="s">
        <v>485</v>
      </c>
      <c r="B145" s="80"/>
      <c r="C145" s="80"/>
    </row>
    <row r="146" customFormat="false" ht="18" hidden="false" customHeight="true" outlineLevel="0" collapsed="false">
      <c r="A146" s="80" t="s">
        <v>509</v>
      </c>
      <c r="B146" s="80"/>
      <c r="C146" s="80"/>
    </row>
    <row r="147" customFormat="false" ht="18" hidden="false" customHeight="true" outlineLevel="0" collapsed="false">
      <c r="A147" s="80" t="s">
        <v>442</v>
      </c>
      <c r="B147" s="80"/>
      <c r="C147" s="80"/>
    </row>
    <row r="148" customFormat="false" ht="18" hidden="false" customHeight="true" outlineLevel="0" collapsed="false">
      <c r="A148" s="80" t="s">
        <v>429</v>
      </c>
      <c r="B148" s="80"/>
      <c r="C148" s="80"/>
    </row>
    <row r="149" customFormat="false" ht="31.5" hidden="false" customHeight="true" outlineLevel="0" collapsed="false">
      <c r="A149" s="81" t="s">
        <v>510</v>
      </c>
      <c r="B149" s="81"/>
      <c r="C149" s="81"/>
    </row>
    <row r="151" customFormat="false" ht="30" hidden="false" customHeight="true" outlineLevel="0" collapsed="false">
      <c r="A151" s="87" t="s">
        <v>511</v>
      </c>
      <c r="B151" s="87"/>
      <c r="C151" s="87"/>
    </row>
    <row r="152" customFormat="false" ht="27.75" hidden="false" customHeight="true" outlineLevel="0" collapsed="false">
      <c r="A152" s="71" t="s">
        <v>512</v>
      </c>
      <c r="B152" s="88" t="s">
        <v>513</v>
      </c>
      <c r="C152" s="88"/>
    </row>
    <row r="153" customFormat="false" ht="27.75" hidden="false" customHeight="true" outlineLevel="0" collapsed="false">
      <c r="A153" s="71" t="s">
        <v>514</v>
      </c>
      <c r="B153" s="88" t="s">
        <v>515</v>
      </c>
      <c r="C153" s="88"/>
    </row>
    <row r="154" customFormat="false" ht="27.75" hidden="false" customHeight="true" outlineLevel="0" collapsed="false">
      <c r="A154" s="71" t="s">
        <v>516</v>
      </c>
      <c r="B154" s="88" t="s">
        <v>517</v>
      </c>
      <c r="C154" s="88"/>
    </row>
    <row r="155" customFormat="false" ht="27.75" hidden="false" customHeight="true" outlineLevel="0" collapsed="false">
      <c r="A155" s="71" t="s">
        <v>518</v>
      </c>
      <c r="B155" s="88" t="s">
        <v>519</v>
      </c>
      <c r="C155" s="88"/>
    </row>
    <row r="156" customFormat="false" ht="27.75" hidden="false" customHeight="true" outlineLevel="0" collapsed="false">
      <c r="A156" s="71" t="s">
        <v>520</v>
      </c>
      <c r="B156" s="88" t="s">
        <v>521</v>
      </c>
      <c r="C156" s="88"/>
    </row>
    <row r="157" customFormat="false" ht="27.75" hidden="false" customHeight="true" outlineLevel="0" collapsed="false">
      <c r="A157" s="71" t="s">
        <v>522</v>
      </c>
      <c r="B157" s="88" t="s">
        <v>523</v>
      </c>
      <c r="C157" s="88"/>
    </row>
    <row r="158" customFormat="false" ht="27.75" hidden="false" customHeight="true" outlineLevel="0" collapsed="false">
      <c r="A158" s="71" t="s">
        <v>524</v>
      </c>
      <c r="B158" s="88" t="s">
        <v>525</v>
      </c>
      <c r="C158" s="88"/>
    </row>
    <row r="159" customFormat="false" ht="27.75" hidden="false" customHeight="true" outlineLevel="0" collapsed="false">
      <c r="A159" s="71" t="s">
        <v>526</v>
      </c>
      <c r="B159" s="88" t="s">
        <v>527</v>
      </c>
      <c r="C159" s="88"/>
    </row>
    <row r="160" customFormat="false" ht="27.75" hidden="false" customHeight="true" outlineLevel="0" collapsed="false">
      <c r="A160" s="71" t="s">
        <v>528</v>
      </c>
      <c r="B160" s="88" t="s">
        <v>529</v>
      </c>
      <c r="C160" s="88"/>
    </row>
    <row r="161" customFormat="false" ht="27.75" hidden="false" customHeight="true" outlineLevel="0" collapsed="false">
      <c r="A161" s="71" t="s">
        <v>530</v>
      </c>
      <c r="B161" s="88" t="s">
        <v>531</v>
      </c>
      <c r="C161" s="88"/>
    </row>
  </sheetData>
  <mergeCells count="144">
    <mergeCell ref="A1:C1"/>
    <mergeCell ref="A2:C2"/>
    <mergeCell ref="A4:C4"/>
    <mergeCell ref="A6:C6"/>
    <mergeCell ref="B7:C7"/>
    <mergeCell ref="A8:C8"/>
    <mergeCell ref="A9:C9"/>
    <mergeCell ref="A10:C10"/>
    <mergeCell ref="A12:C12"/>
    <mergeCell ref="B13:C13"/>
    <mergeCell ref="A14:C14"/>
    <mergeCell ref="A15:C15"/>
    <mergeCell ref="A16:C16"/>
    <mergeCell ref="A17:C17"/>
    <mergeCell ref="A18:C18"/>
    <mergeCell ref="A19:C19"/>
    <mergeCell ref="A21:C21"/>
    <mergeCell ref="B22:C22"/>
    <mergeCell ref="A23:C23"/>
    <mergeCell ref="A24:C24"/>
    <mergeCell ref="A25:C25"/>
    <mergeCell ref="A26:C26"/>
    <mergeCell ref="A27:C27"/>
    <mergeCell ref="A28:C28"/>
    <mergeCell ref="A30:C30"/>
    <mergeCell ref="B31:C31"/>
    <mergeCell ref="A32:C32"/>
    <mergeCell ref="A33:C33"/>
    <mergeCell ref="A34:C34"/>
    <mergeCell ref="A35:C35"/>
    <mergeCell ref="A36:C36"/>
    <mergeCell ref="A37:C37"/>
    <mergeCell ref="A38:C38"/>
    <mergeCell ref="A40:C40"/>
    <mergeCell ref="B41:C41"/>
    <mergeCell ref="A42:C42"/>
    <mergeCell ref="A43:C43"/>
    <mergeCell ref="A44:C44"/>
    <mergeCell ref="A45:C45"/>
    <mergeCell ref="A46:C46"/>
    <mergeCell ref="A47:C47"/>
    <mergeCell ref="A49:C49"/>
    <mergeCell ref="B50:C50"/>
    <mergeCell ref="A51:C51"/>
    <mergeCell ref="A52:C52"/>
    <mergeCell ref="A53:C53"/>
    <mergeCell ref="A54:C54"/>
    <mergeCell ref="A55:C55"/>
    <mergeCell ref="A56:C56"/>
    <mergeCell ref="A58:C58"/>
    <mergeCell ref="B59:C59"/>
    <mergeCell ref="A60:C60"/>
    <mergeCell ref="A61:C61"/>
    <mergeCell ref="A62:C62"/>
    <mergeCell ref="A63:C63"/>
    <mergeCell ref="A64:C64"/>
    <mergeCell ref="A65:C65"/>
    <mergeCell ref="A67:C67"/>
    <mergeCell ref="B68:C68"/>
    <mergeCell ref="A69:C69"/>
    <mergeCell ref="A70:C70"/>
    <mergeCell ref="A71:C71"/>
    <mergeCell ref="A72:C72"/>
    <mergeCell ref="A73:C73"/>
    <mergeCell ref="A74:C74"/>
    <mergeCell ref="A76:C76"/>
    <mergeCell ref="B77:C77"/>
    <mergeCell ref="A78:C78"/>
    <mergeCell ref="A79:C79"/>
    <mergeCell ref="A80:C80"/>
    <mergeCell ref="A81:C81"/>
    <mergeCell ref="A82:C82"/>
    <mergeCell ref="A83:C83"/>
    <mergeCell ref="A84:C84"/>
    <mergeCell ref="A86:C86"/>
    <mergeCell ref="B87:C87"/>
    <mergeCell ref="A88:C88"/>
    <mergeCell ref="A89:C89"/>
    <mergeCell ref="A90:C90"/>
    <mergeCell ref="A91:C91"/>
    <mergeCell ref="A92:C92"/>
    <mergeCell ref="A93:C93"/>
    <mergeCell ref="A94:C94"/>
    <mergeCell ref="A96:C96"/>
    <mergeCell ref="B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10:C110"/>
    <mergeCell ref="B111:C111"/>
    <mergeCell ref="A112:C112"/>
    <mergeCell ref="A113:C113"/>
    <mergeCell ref="A114:C114"/>
    <mergeCell ref="A115:C115"/>
    <mergeCell ref="A116:C116"/>
    <mergeCell ref="A117:C117"/>
    <mergeCell ref="A119:C119"/>
    <mergeCell ref="B120:C120"/>
    <mergeCell ref="A121:C121"/>
    <mergeCell ref="A122:C122"/>
    <mergeCell ref="A123:C123"/>
    <mergeCell ref="A124:C124"/>
    <mergeCell ref="A125:C125"/>
    <mergeCell ref="A126:C126"/>
    <mergeCell ref="A127:C127"/>
    <mergeCell ref="A129:C129"/>
    <mergeCell ref="B130:C130"/>
    <mergeCell ref="A131:C131"/>
    <mergeCell ref="A132:C132"/>
    <mergeCell ref="A133:C133"/>
    <mergeCell ref="A134:C134"/>
    <mergeCell ref="A135:C135"/>
    <mergeCell ref="A136:C136"/>
    <mergeCell ref="A138:C138"/>
    <mergeCell ref="B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50"/>
    <pageSetUpPr fitToPage="false"/>
  </sheetPr>
  <dimension ref="A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4"/>
    <col collapsed="false" customWidth="true" hidden="false" outlineLevel="0" max="3" min="3" style="0" width="30"/>
  </cols>
  <sheetData>
    <row r="1" customFormat="false" ht="43.5" hidden="false" customHeight="true" outlineLevel="0" collapsed="false">
      <c r="A1" s="23" t="s">
        <v>532</v>
      </c>
      <c r="B1" s="23"/>
      <c r="C1" s="23"/>
    </row>
    <row r="2" customFormat="false" ht="19.5" hidden="false" customHeight="true" outlineLevel="0" collapsed="false">
      <c r="A2" s="2" t="s">
        <v>533</v>
      </c>
      <c r="B2" s="2"/>
      <c r="C2" s="2"/>
    </row>
    <row r="4" customFormat="false" ht="27.75" hidden="false" customHeight="true" outlineLevel="0" collapsed="false">
      <c r="A4" s="89" t="s">
        <v>534</v>
      </c>
      <c r="B4" s="89"/>
      <c r="C4" s="89"/>
    </row>
    <row r="5" customFormat="false" ht="36" hidden="false" customHeight="true" outlineLevel="0" collapsed="false">
      <c r="A5" s="90" t="s">
        <v>535</v>
      </c>
      <c r="B5" s="91" t="s">
        <v>536</v>
      </c>
      <c r="C5" s="91"/>
    </row>
    <row r="6" customFormat="false" ht="36" hidden="false" customHeight="true" outlineLevel="0" collapsed="false">
      <c r="A6" s="90" t="s">
        <v>537</v>
      </c>
      <c r="B6" s="92" t="s">
        <v>538</v>
      </c>
      <c r="C6" s="92"/>
    </row>
    <row r="7" customFormat="false" ht="36" hidden="false" customHeight="true" outlineLevel="0" collapsed="false">
      <c r="A7" s="90" t="s">
        <v>539</v>
      </c>
      <c r="B7" s="91" t="s">
        <v>540</v>
      </c>
      <c r="C7" s="91"/>
    </row>
    <row r="8" customFormat="false" ht="36" hidden="false" customHeight="true" outlineLevel="0" collapsed="false">
      <c r="A8" s="90" t="s">
        <v>541</v>
      </c>
      <c r="B8" s="92" t="s">
        <v>542</v>
      </c>
      <c r="C8" s="92"/>
    </row>
    <row r="9" customFormat="false" ht="36" hidden="false" customHeight="true" outlineLevel="0" collapsed="false">
      <c r="A9" s="90" t="s">
        <v>543</v>
      </c>
      <c r="B9" s="91" t="s">
        <v>544</v>
      </c>
      <c r="C9" s="91"/>
    </row>
    <row r="10" customFormat="false" ht="36" hidden="false" customHeight="true" outlineLevel="0" collapsed="false">
      <c r="A10" s="90" t="s">
        <v>545</v>
      </c>
      <c r="B10" s="92" t="s">
        <v>546</v>
      </c>
      <c r="C10" s="92"/>
    </row>
    <row r="11" customFormat="false" ht="36" hidden="false" customHeight="true" outlineLevel="0" collapsed="false">
      <c r="A11" s="90" t="s">
        <v>547</v>
      </c>
      <c r="B11" s="91" t="s">
        <v>548</v>
      </c>
      <c r="C11" s="91"/>
    </row>
    <row r="12" customFormat="false" ht="36" hidden="false" customHeight="true" outlineLevel="0" collapsed="false">
      <c r="A12" s="90" t="s">
        <v>316</v>
      </c>
      <c r="B12" s="92" t="s">
        <v>549</v>
      </c>
      <c r="C12" s="92"/>
    </row>
    <row r="14" customFormat="false" ht="27.75" hidden="false" customHeight="true" outlineLevel="0" collapsed="false">
      <c r="A14" s="89" t="s">
        <v>550</v>
      </c>
      <c r="B14" s="89"/>
      <c r="C14" s="89"/>
    </row>
    <row r="15" customFormat="false" ht="36" hidden="false" customHeight="true" outlineLevel="0" collapsed="false">
      <c r="A15" s="93" t="s">
        <v>551</v>
      </c>
      <c r="B15" s="91" t="s">
        <v>552</v>
      </c>
      <c r="C15" s="91"/>
    </row>
    <row r="16" customFormat="false" ht="36" hidden="false" customHeight="true" outlineLevel="0" collapsed="false">
      <c r="A16" s="93" t="s">
        <v>553</v>
      </c>
      <c r="B16" s="92" t="s">
        <v>554</v>
      </c>
      <c r="C16" s="92"/>
    </row>
    <row r="17" customFormat="false" ht="36" hidden="false" customHeight="true" outlineLevel="0" collapsed="false">
      <c r="A17" s="93" t="s">
        <v>555</v>
      </c>
      <c r="B17" s="91" t="s">
        <v>556</v>
      </c>
      <c r="C17" s="91"/>
    </row>
    <row r="18" customFormat="false" ht="36" hidden="false" customHeight="true" outlineLevel="0" collapsed="false">
      <c r="A18" s="93" t="s">
        <v>557</v>
      </c>
      <c r="B18" s="92" t="s">
        <v>558</v>
      </c>
      <c r="C18" s="92"/>
    </row>
    <row r="19" customFormat="false" ht="36" hidden="false" customHeight="true" outlineLevel="0" collapsed="false">
      <c r="A19" s="93" t="s">
        <v>559</v>
      </c>
      <c r="B19" s="91" t="s">
        <v>560</v>
      </c>
      <c r="C19" s="91"/>
    </row>
    <row r="21" customFormat="false" ht="27.75" hidden="false" customHeight="true" outlineLevel="0" collapsed="false">
      <c r="A21" s="89" t="s">
        <v>561</v>
      </c>
      <c r="B21" s="89"/>
      <c r="C21" s="89"/>
    </row>
    <row r="22" customFormat="false" ht="36" hidden="false" customHeight="true" outlineLevel="0" collapsed="false">
      <c r="A22" s="93" t="s">
        <v>562</v>
      </c>
      <c r="B22" s="92" t="s">
        <v>563</v>
      </c>
      <c r="C22" s="92"/>
    </row>
    <row r="23" customFormat="false" ht="36" hidden="false" customHeight="true" outlineLevel="0" collapsed="false">
      <c r="A23" s="93" t="s">
        <v>564</v>
      </c>
      <c r="B23" s="91" t="s">
        <v>565</v>
      </c>
      <c r="C23" s="91"/>
    </row>
    <row r="24" customFormat="false" ht="36" hidden="false" customHeight="true" outlineLevel="0" collapsed="false">
      <c r="A24" s="93" t="s">
        <v>566</v>
      </c>
      <c r="B24" s="92" t="s">
        <v>567</v>
      </c>
      <c r="C24" s="92"/>
    </row>
    <row r="25" customFormat="false" ht="36" hidden="false" customHeight="true" outlineLevel="0" collapsed="false">
      <c r="A25" s="93" t="s">
        <v>67</v>
      </c>
      <c r="B25" s="91" t="s">
        <v>568</v>
      </c>
      <c r="C25" s="91"/>
    </row>
    <row r="26" customFormat="false" ht="36" hidden="false" customHeight="true" outlineLevel="0" collapsed="false">
      <c r="A26" s="93" t="s">
        <v>569</v>
      </c>
      <c r="B26" s="92" t="s">
        <v>570</v>
      </c>
      <c r="C26" s="92"/>
    </row>
    <row r="28" customFormat="false" ht="27.75" hidden="false" customHeight="true" outlineLevel="0" collapsed="false">
      <c r="A28" s="89" t="s">
        <v>571</v>
      </c>
      <c r="B28" s="89"/>
      <c r="C28" s="89"/>
    </row>
    <row r="29" customFormat="false" ht="36" hidden="false" customHeight="true" outlineLevel="0" collapsed="false">
      <c r="A29" s="90" t="s">
        <v>572</v>
      </c>
      <c r="B29" s="91" t="s">
        <v>573</v>
      </c>
      <c r="C29" s="91"/>
    </row>
    <row r="30" customFormat="false" ht="36" hidden="false" customHeight="true" outlineLevel="0" collapsed="false">
      <c r="A30" s="90" t="s">
        <v>574</v>
      </c>
      <c r="B30" s="92" t="s">
        <v>575</v>
      </c>
      <c r="C30" s="92"/>
    </row>
    <row r="31" customFormat="false" ht="36" hidden="false" customHeight="true" outlineLevel="0" collapsed="false">
      <c r="A31" s="90" t="s">
        <v>576</v>
      </c>
      <c r="B31" s="91" t="s">
        <v>577</v>
      </c>
      <c r="C31" s="91"/>
    </row>
    <row r="32" customFormat="false" ht="36" hidden="false" customHeight="true" outlineLevel="0" collapsed="false">
      <c r="A32" s="90" t="s">
        <v>578</v>
      </c>
      <c r="B32" s="92" t="s">
        <v>579</v>
      </c>
      <c r="C32" s="92"/>
    </row>
    <row r="33" customFormat="false" ht="36" hidden="false" customHeight="true" outlineLevel="0" collapsed="false">
      <c r="A33" s="90" t="s">
        <v>580</v>
      </c>
      <c r="B33" s="91" t="s">
        <v>581</v>
      </c>
      <c r="C33" s="91"/>
    </row>
  </sheetData>
  <mergeCells count="29">
    <mergeCell ref="A1:C1"/>
    <mergeCell ref="A2:C2"/>
    <mergeCell ref="A4:C4"/>
    <mergeCell ref="B5:C5"/>
    <mergeCell ref="B6:C6"/>
    <mergeCell ref="B7:C7"/>
    <mergeCell ref="B8:C8"/>
    <mergeCell ref="B9:C9"/>
    <mergeCell ref="B10:C10"/>
    <mergeCell ref="B11:C11"/>
    <mergeCell ref="B12:C12"/>
    <mergeCell ref="A14:C14"/>
    <mergeCell ref="B15:C15"/>
    <mergeCell ref="B16:C16"/>
    <mergeCell ref="B17:C17"/>
    <mergeCell ref="B18:C18"/>
    <mergeCell ref="B19:C19"/>
    <mergeCell ref="A21:C21"/>
    <mergeCell ref="B22:C22"/>
    <mergeCell ref="B23:C23"/>
    <mergeCell ref="B24:C24"/>
    <mergeCell ref="B25:C25"/>
    <mergeCell ref="B26:C26"/>
    <mergeCell ref="A28:C28"/>
    <mergeCell ref="B29:C29"/>
    <mergeCell ref="B30:C30"/>
    <mergeCell ref="B31:C31"/>
    <mergeCell ref="B32:C32"/>
    <mergeCell ref="B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2026-03-18T08:04:07Z</dcterms:created>
  <dc:creator>openpyxl</dc:creator>
  <dc:description/>
  <dc:language>en-US</dc:language>
  <cp:lastModifiedBy/>
  <dcterms:modified xsi:type="dcterms:W3CDTF">2026-03-18T08:04:16Z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