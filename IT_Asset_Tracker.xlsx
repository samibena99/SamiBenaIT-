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et Register" sheetId="2" state="visible" r:id="rId4"/>
    <sheet name="Users" sheetId="3" state="visible" r:id="rId5"/>
    <sheet name="Transactions" sheetId="4" state="visible" r:id="rId6"/>
    <sheet name="Maintenance" sheetId="5" state="visible" r:id="rId7"/>
    <sheet name="Lookup Tables" sheetId="6" state="visible" r:id="rId8"/>
    <sheet name="Warranty Alerts" sheetId="7" state="visible" r:id="rId9"/>
    <sheet name="Audit Log" sheetId="8" state="visible" r:id="rId10"/>
    <sheet name="Instruc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<sst xmlns="http://schemas.openxmlformats.org/spreadsheetml/2006/main" count="2110" uniqueCount="616">
  <si>
    <t xml:space="preserve">📊  IT ASSET MANAGEMENT DASHBOARD</t>
  </si>
  <si>
    <t xml:space="preserve">Live KPI Overview  |  As of: =TEXT(TODAY(),"DD-MMM-YYYY")</t>
  </si>
  <si>
    <t xml:space="preserve">Total Assets</t>
  </si>
  <si>
    <t xml:space="preserve">In Use</t>
  </si>
  <si>
    <t xml:space="preserve">Available</t>
  </si>
  <si>
    <t xml:space="preserve">Under Repair</t>
  </si>
  <si>
    <t xml:space="preserve">assets</t>
  </si>
  <si>
    <t xml:space="preserve">Retired / Lost</t>
  </si>
  <si>
    <t xml:space="preserve">Open Maintenance</t>
  </si>
  <si>
    <t xml:space="preserve">Expiring Warranties (90d)</t>
  </si>
  <si>
    <t xml:space="preserve">Open Transactions</t>
  </si>
  <si>
    <t xml:space="preserve">count</t>
  </si>
  <si>
    <t xml:space="preserve">📦  Assets by Category</t>
  </si>
  <si>
    <t xml:space="preserve">🏢  Assets by Department</t>
  </si>
  <si>
    <t xml:space="preserve">Category</t>
  </si>
  <si>
    <t xml:space="preserve">Total</t>
  </si>
  <si>
    <t xml:space="preserve">Retired</t>
  </si>
  <si>
    <t xml:space="preserve">% In Use</t>
  </si>
  <si>
    <t xml:space="preserve">Department</t>
  </si>
  <si>
    <t xml:space="preserve">Maintenance Cost (QAR)</t>
  </si>
  <si>
    <t xml:space="preserve">Laptop</t>
  </si>
  <si>
    <t xml:space="preserve">IT</t>
  </si>
  <si>
    <t xml:space="preserve">Desktop</t>
  </si>
  <si>
    <t xml:space="preserve">Finance</t>
  </si>
  <si>
    <t xml:space="preserve">Monitor</t>
  </si>
  <si>
    <t xml:space="preserve">HR</t>
  </si>
  <si>
    <t xml:space="preserve">Printer</t>
  </si>
  <si>
    <t xml:space="preserve">Operations</t>
  </si>
  <si>
    <t xml:space="preserve">Server</t>
  </si>
  <si>
    <t xml:space="preserve">Marketing</t>
  </si>
  <si>
    <t xml:space="preserve">Network</t>
  </si>
  <si>
    <t xml:space="preserve">Sales</t>
  </si>
  <si>
    <t xml:space="preserve">Phone</t>
  </si>
  <si>
    <t xml:space="preserve">Legal</t>
  </si>
  <si>
    <t xml:space="preserve">Tablet</t>
  </si>
  <si>
    <t xml:space="preserve">Executive</t>
  </si>
  <si>
    <t xml:space="preserve">Projector</t>
  </si>
  <si>
    <t xml:space="preserve">UPS</t>
  </si>
  <si>
    <t xml:space="preserve">TOTAL</t>
  </si>
  <si>
    <t xml:space="preserve">Status Distribution</t>
  </si>
  <si>
    <t xml:space="preserve">Lost/Stolen</t>
  </si>
  <si>
    <t xml:space="preserve">In Storage</t>
  </si>
  <si>
    <t xml:space="preserve">🖥️  IT ASSET REGISTER</t>
  </si>
  <si>
    <t xml:space="preserve">Central repository of all IT assets | Last Updated: =TODAY()</t>
  </si>
  <si>
    <t xml:space="preserve">Asset ID</t>
  </si>
  <si>
    <t xml:space="preserve">Asset Name</t>
  </si>
  <si>
    <t xml:space="preserve">Sub-Category</t>
  </si>
  <si>
    <t xml:space="preserve">Brand</t>
  </si>
  <si>
    <t xml:space="preserve">Model</t>
  </si>
  <si>
    <t xml:space="preserve">Serial Number</t>
  </si>
  <si>
    <t xml:space="preserve">Purchase Date</t>
  </si>
  <si>
    <t xml:space="preserve">Purchase Price</t>
  </si>
  <si>
    <t xml:space="preserve">Vendor</t>
  </si>
  <si>
    <t xml:space="preserve">Warranty Start</t>
  </si>
  <si>
    <t xml:space="preserve">Warranty End</t>
  </si>
  <si>
    <t xml:space="preserve">Warranty Status</t>
  </si>
  <si>
    <t xml:space="preserve">Location</t>
  </si>
  <si>
    <t xml:space="preserve">Assigned To</t>
  </si>
  <si>
    <t xml:space="preserve">Status</t>
  </si>
  <si>
    <t xml:space="preserve">Condition</t>
  </si>
  <si>
    <t xml:space="preserve">OS / Version</t>
  </si>
  <si>
    <t xml:space="preserve">Notes</t>
  </si>
  <si>
    <t xml:space="preserve">LAP-001</t>
  </si>
  <si>
    <t xml:space="preserve">Samsung Laptop</t>
  </si>
  <si>
    <t xml:space="preserve">Samsung</t>
  </si>
  <si>
    <t xml:space="preserve">Samsung Pro X1</t>
  </si>
  <si>
    <t xml:space="preserve">SN13356886</t>
  </si>
  <si>
    <t xml:space="preserve">HP Enterprise</t>
  </si>
  <si>
    <t xml:space="preserve">HQ - Floor 1</t>
  </si>
  <si>
    <t xml:space="preserve">Yousef Al-Mansoori</t>
  </si>
  <si>
    <t xml:space="preserve">Excellent</t>
  </si>
  <si>
    <t xml:space="preserve">iOS 17</t>
  </si>
  <si>
    <t xml:space="preserve">DES-001</t>
  </si>
  <si>
    <t xml:space="preserve">Lenovo Desktop</t>
  </si>
  <si>
    <t xml:space="preserve">Lenovo</t>
  </si>
  <si>
    <t xml:space="preserve">Lenovo Plus X1</t>
  </si>
  <si>
    <t xml:space="preserve">SN13999315</t>
  </si>
  <si>
    <t xml:space="preserve">Cisco</t>
  </si>
  <si>
    <t xml:space="preserve">Noura Hamdan</t>
  </si>
  <si>
    <t xml:space="preserve">Poor</t>
  </si>
  <si>
    <t xml:space="preserve">macOS Sonoma</t>
  </si>
  <si>
    <t xml:space="preserve">MON-001</t>
  </si>
  <si>
    <t xml:space="preserve">Lenovo Monitor</t>
  </si>
  <si>
    <t xml:space="preserve">Lenovo Pro 14</t>
  </si>
  <si>
    <t xml:space="preserve">SN47338124</t>
  </si>
  <si>
    <t xml:space="preserve">Branch - Dubai</t>
  </si>
  <si>
    <t xml:space="preserve">Khalid Hassan</t>
  </si>
  <si>
    <t xml:space="preserve">Good</t>
  </si>
  <si>
    <t xml:space="preserve">PRN-001</t>
  </si>
  <si>
    <t xml:space="preserve">Apple Printer</t>
  </si>
  <si>
    <t xml:space="preserve">Apple</t>
  </si>
  <si>
    <t xml:space="preserve">Apple Plus X1</t>
  </si>
  <si>
    <t xml:space="preserve">SN22448136</t>
  </si>
  <si>
    <t xml:space="preserve">Epson</t>
  </si>
  <si>
    <t xml:space="preserve">Branch - Abu Dhabi</t>
  </si>
  <si>
    <t xml:space="preserve">Ahmed Al-Rashid</t>
  </si>
  <si>
    <t xml:space="preserve">SRV-001</t>
  </si>
  <si>
    <t xml:space="preserve">Cisco Server</t>
  </si>
  <si>
    <t xml:space="preserve">Cisco Pro X1</t>
  </si>
  <si>
    <t xml:space="preserve">SN60806024</t>
  </si>
  <si>
    <t xml:space="preserve">Layla Ibrahim</t>
  </si>
  <si>
    <t xml:space="preserve">NET-001</t>
  </si>
  <si>
    <t xml:space="preserve">Dell Network</t>
  </si>
  <si>
    <t xml:space="preserve">Dell</t>
  </si>
  <si>
    <t xml:space="preserve">Dell Plus X1</t>
  </si>
  <si>
    <t xml:space="preserve">SN98753260</t>
  </si>
  <si>
    <t xml:space="preserve">Dell Technologies</t>
  </si>
  <si>
    <t xml:space="preserve">Warehouse</t>
  </si>
  <si>
    <t xml:space="preserve">PHN-001</t>
  </si>
  <si>
    <t xml:space="preserve">Apple Phone</t>
  </si>
  <si>
    <t xml:space="preserve">Apple Pro X5</t>
  </si>
  <si>
    <t xml:space="preserve">SN59684848</t>
  </si>
  <si>
    <t xml:space="preserve">Data Center</t>
  </si>
  <si>
    <t xml:space="preserve">Hessa Al-Zaabi</t>
  </si>
  <si>
    <t xml:space="preserve">TAB-001</t>
  </si>
  <si>
    <t xml:space="preserve">Samsung Tablet</t>
  </si>
  <si>
    <t xml:space="preserve">Samsung Plus X5</t>
  </si>
  <si>
    <t xml:space="preserve">SN31931511</t>
  </si>
  <si>
    <t xml:space="preserve">PRJ-001</t>
  </si>
  <si>
    <t xml:space="preserve">Dell Projector</t>
  </si>
  <si>
    <t xml:space="preserve">Dell Pro G3</t>
  </si>
  <si>
    <t xml:space="preserve">SN63843426</t>
  </si>
  <si>
    <t xml:space="preserve">HQ - Floor 3</t>
  </si>
  <si>
    <t xml:space="preserve">Mona Salem</t>
  </si>
  <si>
    <t xml:space="preserve">UPS-001</t>
  </si>
  <si>
    <t xml:space="preserve">Samsung UPS</t>
  </si>
  <si>
    <t xml:space="preserve">Samsung Plus G5</t>
  </si>
  <si>
    <t xml:space="preserve">SN29175900</t>
  </si>
  <si>
    <t xml:space="preserve">LAP-002</t>
  </si>
  <si>
    <t xml:space="preserve">Cisco Laptop</t>
  </si>
  <si>
    <t xml:space="preserve">Cisco Pro G5</t>
  </si>
  <si>
    <t xml:space="preserve">SN58586340</t>
  </si>
  <si>
    <t xml:space="preserve">DES-002</t>
  </si>
  <si>
    <t xml:space="preserve">Samsung Desktop</t>
  </si>
  <si>
    <t xml:space="preserve">SN66661351</t>
  </si>
  <si>
    <t xml:space="preserve">MON-002</t>
  </si>
  <si>
    <t xml:space="preserve">Samsung Monitor</t>
  </si>
  <si>
    <t xml:space="preserve">SN82070937</t>
  </si>
  <si>
    <t xml:space="preserve">PRN-002</t>
  </si>
  <si>
    <t xml:space="preserve">Samsung Printer</t>
  </si>
  <si>
    <t xml:space="preserve">Samsung Plus 15</t>
  </si>
  <si>
    <t xml:space="preserve">SN45351479</t>
  </si>
  <si>
    <t xml:space="preserve">Rashed Khalil</t>
  </si>
  <si>
    <t xml:space="preserve">SRV-002</t>
  </si>
  <si>
    <t xml:space="preserve">HP Server</t>
  </si>
  <si>
    <t xml:space="preserve">HP</t>
  </si>
  <si>
    <t xml:space="preserve">HP Pro G3</t>
  </si>
  <si>
    <t xml:space="preserve">SN31682744</t>
  </si>
  <si>
    <t xml:space="preserve">Ubuntu 22.04</t>
  </si>
  <si>
    <t xml:space="preserve">NET-002</t>
  </si>
  <si>
    <t xml:space="preserve">Apple Network</t>
  </si>
  <si>
    <t xml:space="preserve">Apple Plus X5</t>
  </si>
  <si>
    <t xml:space="preserve">SN17774584</t>
  </si>
  <si>
    <t xml:space="preserve">Sara Mohammed</t>
  </si>
  <si>
    <t xml:space="preserve">PHN-002</t>
  </si>
  <si>
    <t xml:space="preserve">Samsung Phone</t>
  </si>
  <si>
    <t xml:space="preserve">Samsung Pro G5</t>
  </si>
  <si>
    <t xml:space="preserve">SN83793389</t>
  </si>
  <si>
    <t xml:space="preserve">TAB-002</t>
  </si>
  <si>
    <t xml:space="preserve">Apple Tablet</t>
  </si>
  <si>
    <t xml:space="preserve">Apple Plus G5</t>
  </si>
  <si>
    <t xml:space="preserve">SN97225156</t>
  </si>
  <si>
    <t xml:space="preserve">Fair</t>
  </si>
  <si>
    <t xml:space="preserve">Windows 11 Pro</t>
  </si>
  <si>
    <t xml:space="preserve">PRJ-002</t>
  </si>
  <si>
    <t xml:space="preserve">Cisco Projector</t>
  </si>
  <si>
    <t xml:space="preserve">Cisco Pro 14</t>
  </si>
  <si>
    <t xml:space="preserve">SN40885476</t>
  </si>
  <si>
    <t xml:space="preserve">UPS-002</t>
  </si>
  <si>
    <t xml:space="preserve">Dell UPS</t>
  </si>
  <si>
    <t xml:space="preserve">Dell Plus 14</t>
  </si>
  <si>
    <t xml:space="preserve">SN41944441</t>
  </si>
  <si>
    <t xml:space="preserve">HQ - Floor 2</t>
  </si>
  <si>
    <t xml:space="preserve">LAP-003</t>
  </si>
  <si>
    <t xml:space="preserve">HP Laptop</t>
  </si>
  <si>
    <t xml:space="preserve">HP Pro G5</t>
  </si>
  <si>
    <t xml:space="preserve">SN64634663</t>
  </si>
  <si>
    <t xml:space="preserve">DES-003</t>
  </si>
  <si>
    <t xml:space="preserve">SN23209423</t>
  </si>
  <si>
    <t xml:space="preserve">MON-003</t>
  </si>
  <si>
    <t xml:space="preserve">Lenovo Pro X5</t>
  </si>
  <si>
    <t xml:space="preserve">SN47385696</t>
  </si>
  <si>
    <t xml:space="preserve">PRN-003</t>
  </si>
  <si>
    <t xml:space="preserve">Dell Printer</t>
  </si>
  <si>
    <t xml:space="preserve">Dell Plus 15</t>
  </si>
  <si>
    <t xml:space="preserve">SN82556484</t>
  </si>
  <si>
    <t xml:space="preserve">SRV-003</t>
  </si>
  <si>
    <t xml:space="preserve">Lenovo Server</t>
  </si>
  <si>
    <t xml:space="preserve">Lenovo Pro X1</t>
  </si>
  <si>
    <t xml:space="preserve">SN32097220</t>
  </si>
  <si>
    <t xml:space="preserve">Omar Yusuf</t>
  </si>
  <si>
    <t xml:space="preserve">NET-003</t>
  </si>
  <si>
    <t xml:space="preserve">Samsung Network</t>
  </si>
  <si>
    <t xml:space="preserve">Samsung Plus 14</t>
  </si>
  <si>
    <t xml:space="preserve">SN98834863</t>
  </si>
  <si>
    <t xml:space="preserve">PHN-003</t>
  </si>
  <si>
    <t xml:space="preserve">Apple Pro X1</t>
  </si>
  <si>
    <t xml:space="preserve">SN16729990</t>
  </si>
  <si>
    <t xml:space="preserve">TAB-003</t>
  </si>
  <si>
    <t xml:space="preserve">Dell Tablet</t>
  </si>
  <si>
    <t xml:space="preserve">SN19121552</t>
  </si>
  <si>
    <t xml:space="preserve">Windows 10</t>
  </si>
  <si>
    <t xml:space="preserve">PRJ-003</t>
  </si>
  <si>
    <t xml:space="preserve">Samsung Projector</t>
  </si>
  <si>
    <t xml:space="preserve">Samsung Pro 14</t>
  </si>
  <si>
    <t xml:space="preserve">SN85863473</t>
  </si>
  <si>
    <t xml:space="preserve">Fatima Al-Ali</t>
  </si>
  <si>
    <t xml:space="preserve">UPS-003</t>
  </si>
  <si>
    <t xml:space="preserve">Lenovo UPS</t>
  </si>
  <si>
    <t xml:space="preserve">Lenovo Plus X5</t>
  </si>
  <si>
    <t xml:space="preserve">SN96637649</t>
  </si>
  <si>
    <t xml:space="preserve">LAP-004</t>
  </si>
  <si>
    <t xml:space="preserve">Dell Laptop</t>
  </si>
  <si>
    <t xml:space="preserve">Dell Pro 14</t>
  </si>
  <si>
    <t xml:space="preserve">SN38609087</t>
  </si>
  <si>
    <t xml:space="preserve">DES-004</t>
  </si>
  <si>
    <t xml:space="preserve">Samsung Plus G3</t>
  </si>
  <si>
    <t xml:space="preserve">SN92097999</t>
  </si>
  <si>
    <t xml:space="preserve">MON-004</t>
  </si>
  <si>
    <t xml:space="preserve">Dell Monitor</t>
  </si>
  <si>
    <t xml:space="preserve">Dell Pro X1</t>
  </si>
  <si>
    <t xml:space="preserve">SN84252420</t>
  </si>
  <si>
    <t xml:space="preserve">PRN-004</t>
  </si>
  <si>
    <t xml:space="preserve">Cisco Printer</t>
  </si>
  <si>
    <t xml:space="preserve">Cisco Plus G5</t>
  </si>
  <si>
    <t xml:space="preserve">SN43704923</t>
  </si>
  <si>
    <t xml:space="preserve">SRV-004</t>
  </si>
  <si>
    <t xml:space="preserve">HP Pro 15</t>
  </si>
  <si>
    <t xml:space="preserve">SN69302158</t>
  </si>
  <si>
    <t xml:space="preserve">NET-004</t>
  </si>
  <si>
    <t xml:space="preserve">Dell Plus G3</t>
  </si>
  <si>
    <t xml:space="preserve">SN88183110</t>
  </si>
  <si>
    <t xml:space="preserve">PHN-004</t>
  </si>
  <si>
    <t xml:space="preserve">Samsung Pro X5</t>
  </si>
  <si>
    <t xml:space="preserve">SN99514287</t>
  </si>
  <si>
    <t xml:space="preserve">TAB-004</t>
  </si>
  <si>
    <t xml:space="preserve">Lenovo Tablet</t>
  </si>
  <si>
    <t xml:space="preserve">SN34073380</t>
  </si>
  <si>
    <t xml:space="preserve">PRJ-004</t>
  </si>
  <si>
    <t xml:space="preserve">SN61343880</t>
  </si>
  <si>
    <t xml:space="preserve">UPS-004</t>
  </si>
  <si>
    <t xml:space="preserve">HP UPS</t>
  </si>
  <si>
    <t xml:space="preserve">HP Plus X5</t>
  </si>
  <si>
    <t xml:space="preserve">SN13176186</t>
  </si>
  <si>
    <t xml:space="preserve">LAP-005</t>
  </si>
  <si>
    <t xml:space="preserve">SN54446182</t>
  </si>
  <si>
    <t xml:space="preserve">DES-005</t>
  </si>
  <si>
    <t xml:space="preserve">Cisco Desktop</t>
  </si>
  <si>
    <t xml:space="preserve">SN56397338</t>
  </si>
  <si>
    <t xml:space="preserve">MON-005</t>
  </si>
  <si>
    <t xml:space="preserve">SN10226999</t>
  </si>
  <si>
    <t xml:space="preserve">PRN-005</t>
  </si>
  <si>
    <t xml:space="preserve">SN19391725</t>
  </si>
  <si>
    <t xml:space="preserve">SRV-005</t>
  </si>
  <si>
    <t xml:space="preserve">Samsung Server</t>
  </si>
  <si>
    <t xml:space="preserve">SN53779528</t>
  </si>
  <si>
    <t xml:space="preserve">Tariq Nasser</t>
  </si>
  <si>
    <t xml:space="preserve">NET-005</t>
  </si>
  <si>
    <t xml:space="preserve">Cisco Network</t>
  </si>
  <si>
    <t xml:space="preserve">Cisco Plus G3</t>
  </si>
  <si>
    <t xml:space="preserve">SN64502486</t>
  </si>
  <si>
    <t xml:space="preserve">PHN-005</t>
  </si>
  <si>
    <t xml:space="preserve">Lenovo Phone</t>
  </si>
  <si>
    <t xml:space="preserve">Lenovo Pro G5</t>
  </si>
  <si>
    <t xml:space="preserve">SN38682516</t>
  </si>
  <si>
    <t xml:space="preserve">TAB-005</t>
  </si>
  <si>
    <t xml:space="preserve">HP Tablet</t>
  </si>
  <si>
    <t xml:space="preserve">HP Plus 15</t>
  </si>
  <si>
    <t xml:space="preserve">SN51663795</t>
  </si>
  <si>
    <t xml:space="preserve">PRJ-005</t>
  </si>
  <si>
    <t xml:space="preserve">Lenovo Projector</t>
  </si>
  <si>
    <t xml:space="preserve">Lenovo Pro 15</t>
  </si>
  <si>
    <t xml:space="preserve">SN87265240</t>
  </si>
  <si>
    <t xml:space="preserve">UPS-005</t>
  </si>
  <si>
    <t xml:space="preserve">Dell Plus G5</t>
  </si>
  <si>
    <t xml:space="preserve">SN39372360</t>
  </si>
  <si>
    <t xml:space="preserve">👥  USERS &amp; EMPLOYEES</t>
  </si>
  <si>
    <t xml:space="preserve">Directory of all staff eligible to hold IT assets</t>
  </si>
  <si>
    <t xml:space="preserve">Employee ID</t>
  </si>
  <si>
    <t xml:space="preserve">Full Name</t>
  </si>
  <si>
    <t xml:space="preserve">Email</t>
  </si>
  <si>
    <t xml:space="preserve">Job Title</t>
  </si>
  <si>
    <t xml:space="preserve">Manager</t>
  </si>
  <si>
    <t xml:space="preserve">Asset Count</t>
  </si>
  <si>
    <t xml:space="preserve">EMP-001</t>
  </si>
  <si>
    <t xml:space="preserve">ahmed.al-rashid@company.qa</t>
  </si>
  <si>
    <t xml:space="preserve">Coordinator</t>
  </si>
  <si>
    <t xml:space="preserve">+974 6806 9702</t>
  </si>
  <si>
    <t xml:space="preserve">Active</t>
  </si>
  <si>
    <t xml:space="preserve">EMP-002</t>
  </si>
  <si>
    <t xml:space="preserve">sara.mohammed@company.qa</t>
  </si>
  <si>
    <t xml:space="preserve">Specialist</t>
  </si>
  <si>
    <t xml:space="preserve">+974 5599 8251</t>
  </si>
  <si>
    <t xml:space="preserve">EMP-003</t>
  </si>
  <si>
    <t xml:space="preserve">khalid.hassan@company.qa</t>
  </si>
  <si>
    <t xml:space="preserve">+974 7135 7991</t>
  </si>
  <si>
    <t xml:space="preserve">EMP-004</t>
  </si>
  <si>
    <t xml:space="preserve">fatima.al-ali@company.qa</t>
  </si>
  <si>
    <t xml:space="preserve">+974 4303 8777</t>
  </si>
  <si>
    <t xml:space="preserve">EMP-005</t>
  </si>
  <si>
    <t xml:space="preserve">omar.yusuf@company.qa</t>
  </si>
  <si>
    <t xml:space="preserve">+974 5025 5543</t>
  </si>
  <si>
    <t xml:space="preserve">EMP-006</t>
  </si>
  <si>
    <t xml:space="preserve">layla.ibrahim@company.qa</t>
  </si>
  <si>
    <t xml:space="preserve">+974 4959 5499</t>
  </si>
  <si>
    <t xml:space="preserve">EMP-007</t>
  </si>
  <si>
    <t xml:space="preserve">tariq.nasser@company.qa</t>
  </si>
  <si>
    <t xml:space="preserve">+974 5340 4841</t>
  </si>
  <si>
    <t xml:space="preserve">EMP-008</t>
  </si>
  <si>
    <t xml:space="preserve">mona.salem@company.qa</t>
  </si>
  <si>
    <t xml:space="preserve">Engineer</t>
  </si>
  <si>
    <t xml:space="preserve">+974 5619 9849</t>
  </si>
  <si>
    <t xml:space="preserve">EMP-009</t>
  </si>
  <si>
    <t xml:space="preserve">yousef.al-mansoori@company.qa</t>
  </si>
  <si>
    <t xml:space="preserve">+974 4235 4788</t>
  </si>
  <si>
    <t xml:space="preserve">EMP-010</t>
  </si>
  <si>
    <t xml:space="preserve">hessa.al-zaabi@company.qa</t>
  </si>
  <si>
    <t xml:space="preserve">+974 4251 4505</t>
  </si>
  <si>
    <t xml:space="preserve">EMP-011</t>
  </si>
  <si>
    <t xml:space="preserve">rashed.khalil@company.qa</t>
  </si>
  <si>
    <t xml:space="preserve">+974 6339 6421</t>
  </si>
  <si>
    <t xml:space="preserve">EMP-012</t>
  </si>
  <si>
    <t xml:space="preserve">noura.hamdan@company.qa</t>
  </si>
  <si>
    <t xml:space="preserve">+974 6406 2020</t>
  </si>
  <si>
    <t xml:space="preserve">🔄  ASSET TRANSACTIONS</t>
  </si>
  <si>
    <t xml:space="preserve">Complete check-in / check-out log for all asset movements</t>
  </si>
  <si>
    <t xml:space="preserve">Transaction ID</t>
  </si>
  <si>
    <t xml:space="preserve">Date</t>
  </si>
  <si>
    <t xml:space="preserve">Transaction Type</t>
  </si>
  <si>
    <t xml:space="preserve">Employee Name</t>
  </si>
  <si>
    <t xml:space="preserve">Issued By</t>
  </si>
  <si>
    <t xml:space="preserve">Expected Return</t>
  </si>
  <si>
    <t xml:space="preserve">Actual Return</t>
  </si>
  <si>
    <t xml:space="preserve">Days Out</t>
  </si>
  <si>
    <t xml:space="preserve">Condition Out</t>
  </si>
  <si>
    <t xml:space="preserve">Condition In</t>
  </si>
  <si>
    <t xml:space="preserve">TXN-0001</t>
  </si>
  <si>
    <t xml:space="preserve">Check-In</t>
  </si>
  <si>
    <t xml:space="preserve">Closed</t>
  </si>
  <si>
    <t xml:space="preserve">TXN-0002</t>
  </si>
  <si>
    <t xml:space="preserve">Check-Out</t>
  </si>
  <si>
    <t xml:space="preserve">Open</t>
  </si>
  <si>
    <t xml:space="preserve">TXN-0003</t>
  </si>
  <si>
    <t xml:space="preserve">Transfer</t>
  </si>
  <si>
    <t xml:space="preserve">TXN-0004</t>
  </si>
  <si>
    <t xml:space="preserve">TXN-0005</t>
  </si>
  <si>
    <t xml:space="preserve">TXN-0006</t>
  </si>
  <si>
    <t xml:space="preserve">TXN-0007</t>
  </si>
  <si>
    <t xml:space="preserve">TXN-0008</t>
  </si>
  <si>
    <t xml:space="preserve">TXN-0009</t>
  </si>
  <si>
    <t xml:space="preserve">TXN-0010</t>
  </si>
  <si>
    <t xml:space="preserve">TXN-0011</t>
  </si>
  <si>
    <t xml:space="preserve">TXN-0012</t>
  </si>
  <si>
    <t xml:space="preserve">TXN-0013</t>
  </si>
  <si>
    <t xml:space="preserve">TXN-0014</t>
  </si>
  <si>
    <t xml:space="preserve">TXN-0015</t>
  </si>
  <si>
    <t xml:space="preserve">TXN-0016</t>
  </si>
  <si>
    <t xml:space="preserve">TXN-0017</t>
  </si>
  <si>
    <t xml:space="preserve">TXN-0018</t>
  </si>
  <si>
    <t xml:space="preserve">TXN-0019</t>
  </si>
  <si>
    <t xml:space="preserve">TXN-0020</t>
  </si>
  <si>
    <t xml:space="preserve">TXN-0021</t>
  </si>
  <si>
    <t xml:space="preserve">TXN-0022</t>
  </si>
  <si>
    <t xml:space="preserve">TXN-0023</t>
  </si>
  <si>
    <t xml:space="preserve">TXN-0024</t>
  </si>
  <si>
    <t xml:space="preserve">TXN-0025</t>
  </si>
  <si>
    <t xml:space="preserve">TXN-0026</t>
  </si>
  <si>
    <t xml:space="preserve">TXN-0027</t>
  </si>
  <si>
    <t xml:space="preserve">TXN-0028</t>
  </si>
  <si>
    <t xml:space="preserve">TXN-0029</t>
  </si>
  <si>
    <t xml:space="preserve">TXN-0030</t>
  </si>
  <si>
    <t xml:space="preserve">TXN-0031</t>
  </si>
  <si>
    <t xml:space="preserve">TXN-0032</t>
  </si>
  <si>
    <t xml:space="preserve">TXN-0033</t>
  </si>
  <si>
    <t xml:space="preserve">TXN-0034</t>
  </si>
  <si>
    <t xml:space="preserve">TXN-0035</t>
  </si>
  <si>
    <t xml:space="preserve">TXN-0036</t>
  </si>
  <si>
    <t xml:space="preserve">TXN-0037</t>
  </si>
  <si>
    <t xml:space="preserve">TXN-0038</t>
  </si>
  <si>
    <t xml:space="preserve">TXN-0039</t>
  </si>
  <si>
    <t xml:space="preserve">TXN-0040</t>
  </si>
  <si>
    <t xml:space="preserve">🔧  MAINTENANCE TRACKER</t>
  </si>
  <si>
    <t xml:space="preserve">Log and monitor all repair, service, and maintenance activities</t>
  </si>
  <si>
    <t xml:space="preserve">Maintenance ID</t>
  </si>
  <si>
    <t xml:space="preserve">Issue Description</t>
  </si>
  <si>
    <t xml:space="preserve">Priority</t>
  </si>
  <si>
    <t xml:space="preserve">Maintenance Type</t>
  </si>
  <si>
    <t xml:space="preserve">Technician</t>
  </si>
  <si>
    <t xml:space="preserve">Date Reported</t>
  </si>
  <si>
    <t xml:space="preserve">Date Started</t>
  </si>
  <si>
    <t xml:space="preserve">Date Completed</t>
  </si>
  <si>
    <t xml:space="preserve">Duration (Days)</t>
  </si>
  <si>
    <t xml:space="preserve">Cost (QAR)</t>
  </si>
  <si>
    <t xml:space="preserve">Vendor / Provider</t>
  </si>
  <si>
    <t xml:space="preserve">Parts Replaced</t>
  </si>
  <si>
    <t xml:space="preserve">Resolution Notes</t>
  </si>
  <si>
    <t xml:space="preserve">MNT-0001</t>
  </si>
  <si>
    <t xml:space="preserve">System crashes</t>
  </si>
  <si>
    <t xml:space="preserve">Low</t>
  </si>
  <si>
    <t xml:space="preserve">Upgrade</t>
  </si>
  <si>
    <t xml:space="preserve">Vendor - HP Support</t>
  </si>
  <si>
    <t xml:space="preserve">Completed</t>
  </si>
  <si>
    <t xml:space="preserve">MNT-0002</t>
  </si>
  <si>
    <t xml:space="preserve">Battery not charging</t>
  </si>
  <si>
    <t xml:space="preserve">High</t>
  </si>
  <si>
    <t xml:space="preserve">Data Recovery</t>
  </si>
  <si>
    <t xml:space="preserve">Sara IT Dept</t>
  </si>
  <si>
    <t xml:space="preserve">MNT-0003</t>
  </si>
  <si>
    <t xml:space="preserve">Hardware Repair</t>
  </si>
  <si>
    <t xml:space="preserve">MNT-0004</t>
  </si>
  <si>
    <t xml:space="preserve">Overheating</t>
  </si>
  <si>
    <t xml:space="preserve">MNT-0005</t>
  </si>
  <si>
    <t xml:space="preserve">Ahmed IT Dept</t>
  </si>
  <si>
    <t xml:space="preserve">MNT-0006</t>
  </si>
  <si>
    <t xml:space="preserve">Fan noise</t>
  </si>
  <si>
    <t xml:space="preserve">Critical</t>
  </si>
  <si>
    <t xml:space="preserve">Vendor - Dell Support</t>
  </si>
  <si>
    <t xml:space="preserve">MNT-0007</t>
  </si>
  <si>
    <t xml:space="preserve">MNT-0008</t>
  </si>
  <si>
    <t xml:space="preserve">Printer jam</t>
  </si>
  <si>
    <t xml:space="preserve">MNT-0009</t>
  </si>
  <si>
    <t xml:space="preserve">Medium</t>
  </si>
  <si>
    <t xml:space="preserve">Software Issue</t>
  </si>
  <si>
    <t xml:space="preserve">External Tech</t>
  </si>
  <si>
    <t xml:space="preserve">MNT-0010</t>
  </si>
  <si>
    <t xml:space="preserve">Keyboard malfunction</t>
  </si>
  <si>
    <t xml:space="preserve">MNT-0011</t>
  </si>
  <si>
    <t xml:space="preserve">MNT-0012</t>
  </si>
  <si>
    <t xml:space="preserve">Screen flickering</t>
  </si>
  <si>
    <t xml:space="preserve">MNT-0013</t>
  </si>
  <si>
    <t xml:space="preserve">Preventive Maintenance</t>
  </si>
  <si>
    <t xml:space="preserve">MNT-0014</t>
  </si>
  <si>
    <t xml:space="preserve">MNT-0015</t>
  </si>
  <si>
    <t xml:space="preserve">MNT-0016</t>
  </si>
  <si>
    <t xml:space="preserve">MNT-0017</t>
  </si>
  <si>
    <t xml:space="preserve">MNT-0018</t>
  </si>
  <si>
    <t xml:space="preserve">MNT-0019</t>
  </si>
  <si>
    <t xml:space="preserve">MNT-0020</t>
  </si>
  <si>
    <t xml:space="preserve">MNT-0021</t>
  </si>
  <si>
    <t xml:space="preserve">MNT-0022</t>
  </si>
  <si>
    <t xml:space="preserve">Slow performance</t>
  </si>
  <si>
    <t xml:space="preserve">MNT-0023</t>
  </si>
  <si>
    <t xml:space="preserve">MNT-0024</t>
  </si>
  <si>
    <t xml:space="preserve">Network connectivity issue</t>
  </si>
  <si>
    <t xml:space="preserve">MNT-0025</t>
  </si>
  <si>
    <t xml:space="preserve">📋  LOOKUP TABLES &amp; REFERENCE DATA</t>
  </si>
  <si>
    <t xml:space="preserve">Centralised dropdown values – edit here to update all dropdowns across the workbook</t>
  </si>
  <si>
    <t xml:space="preserve">Categories</t>
  </si>
  <si>
    <t xml:space="preserve">Statuses</t>
  </si>
  <si>
    <t xml:space="preserve">Departments</t>
  </si>
  <si>
    <t xml:space="preserve">Locations</t>
  </si>
  <si>
    <t xml:space="preserve">Conditions</t>
  </si>
  <si>
    <t xml:space="preserve">Priorities</t>
  </si>
  <si>
    <t xml:space="preserve">Maint. Types</t>
  </si>
  <si>
    <t xml:space="preserve">Tx Types</t>
  </si>
  <si>
    <t xml:space="preserve">Asset ID Prefixes</t>
  </si>
  <si>
    <t xml:space="preserve">Prefix</t>
  </si>
  <si>
    <t xml:space="preserve">LAP</t>
  </si>
  <si>
    <t xml:space="preserve">DES</t>
  </si>
  <si>
    <t xml:space="preserve">MON</t>
  </si>
  <si>
    <t xml:space="preserve">Return</t>
  </si>
  <si>
    <t xml:space="preserve">PRN</t>
  </si>
  <si>
    <t xml:space="preserve">Network Issue</t>
  </si>
  <si>
    <t xml:space="preserve">Write-Off</t>
  </si>
  <si>
    <t xml:space="preserve">SRV</t>
  </si>
  <si>
    <t xml:space="preserve">NET</t>
  </si>
  <si>
    <t xml:space="preserve">PHN</t>
  </si>
  <si>
    <t xml:space="preserve">TAB</t>
  </si>
  <si>
    <t xml:space="preserve">PRJ</t>
  </si>
  <si>
    <t xml:space="preserve">⚠️  WARRANTY ALERTS</t>
  </si>
  <si>
    <t xml:space="preserve">Assets with expiring or expired warranties – review and renew as needed</t>
  </si>
  <si>
    <t xml:space="preserve">Days Remaining</t>
  </si>
  <si>
    <t xml:space="preserve">Alert Level</t>
  </si>
  <si>
    <t xml:space="preserve">Action Required</t>
  </si>
  <si>
    <t xml:space="preserve">ℹ️  This sheet uses formulas to pull warranty data from Asset Register. Use FILTER or manual refresh. Below is a static snapshot for reference.</t>
  </si>
  <si>
    <t xml:space="preserve">❌ Expired</t>
  </si>
  <si>
    <t xml:space="preserve">Review &amp; Renew</t>
  </si>
  <si>
    <t xml:space="preserve">🔴 Critical</t>
  </si>
  <si>
    <t xml:space="preserve">🟠 Warning</t>
  </si>
  <si>
    <t xml:space="preserve">🟡 Notice</t>
  </si>
  <si>
    <t xml:space="preserve">📝  AUDIT LOG</t>
  </si>
  <si>
    <t xml:space="preserve">Automatic or manual record of all changes made to this workbook</t>
  </si>
  <si>
    <t xml:space="preserve">Log ID</t>
  </si>
  <si>
    <t xml:space="preserve">Timestamp</t>
  </si>
  <si>
    <t xml:space="preserve">User</t>
  </si>
  <si>
    <t xml:space="preserve">Action</t>
  </si>
  <si>
    <t xml:space="preserve">Sheet</t>
  </si>
  <si>
    <t xml:space="preserve">Record ID</t>
  </si>
  <si>
    <t xml:space="preserve">Field Changed</t>
  </si>
  <si>
    <t xml:space="preserve">Old Value</t>
  </si>
  <si>
    <t xml:space="preserve">New Value</t>
  </si>
  <si>
    <t xml:space="preserve">IP Address / Notes</t>
  </si>
  <si>
    <t xml:space="preserve">LOG-00001</t>
  </si>
  <si>
    <t xml:space="preserve">INSERT</t>
  </si>
  <si>
    <t xml:space="preserve">Asset Register</t>
  </si>
  <si>
    <t xml:space="preserve">AST-006</t>
  </si>
  <si>
    <t xml:space="preserve">192.168.1.184</t>
  </si>
  <si>
    <t xml:space="preserve">LOG-00002</t>
  </si>
  <si>
    <t xml:space="preserve">CHECK-IN</t>
  </si>
  <si>
    <t xml:space="preserve">AST-015</t>
  </si>
  <si>
    <t xml:space="preserve">192.168.1.75</t>
  </si>
  <si>
    <t xml:space="preserve">LOG-00003</t>
  </si>
  <si>
    <t xml:space="preserve">CHECK-OUT</t>
  </si>
  <si>
    <t xml:space="preserve">Transactions</t>
  </si>
  <si>
    <t xml:space="preserve">AST-044</t>
  </si>
  <si>
    <t xml:space="preserve">192.168.1.123</t>
  </si>
  <si>
    <t xml:space="preserve">LOG-00004</t>
  </si>
  <si>
    <t xml:space="preserve">AST-041</t>
  </si>
  <si>
    <t xml:space="preserve">192.168.1.87</t>
  </si>
  <si>
    <t xml:space="preserve">LOG-00005</t>
  </si>
  <si>
    <t xml:space="preserve">AST-016</t>
  </si>
  <si>
    <t xml:space="preserve">192.168.1.157</t>
  </si>
  <si>
    <t xml:space="preserve">LOG-00006</t>
  </si>
  <si>
    <t xml:space="preserve">DELETE</t>
  </si>
  <si>
    <t xml:space="preserve">AST-043</t>
  </si>
  <si>
    <t xml:space="preserve">192.168.1.154</t>
  </si>
  <si>
    <t xml:space="preserve">LOG-00007</t>
  </si>
  <si>
    <t xml:space="preserve">STATUS CHANGE</t>
  </si>
  <si>
    <t xml:space="preserve">AST-039</t>
  </si>
  <si>
    <t xml:space="preserve">192.168.1.165</t>
  </si>
  <si>
    <t xml:space="preserve">LOG-00008</t>
  </si>
  <si>
    <t xml:space="preserve">Maintenance</t>
  </si>
  <si>
    <t xml:space="preserve">AST-013</t>
  </si>
  <si>
    <t xml:space="preserve">192.168.1.170</t>
  </si>
  <si>
    <t xml:space="preserve">LOG-00009</t>
  </si>
  <si>
    <t xml:space="preserve">AST-020</t>
  </si>
  <si>
    <t xml:space="preserve">192.168.1.103</t>
  </si>
  <si>
    <t xml:space="preserve">LOG-00010</t>
  </si>
  <si>
    <t xml:space="preserve">UPDATE</t>
  </si>
  <si>
    <t xml:space="preserve">AST-021</t>
  </si>
  <si>
    <t xml:space="preserve">192.168.1.43</t>
  </si>
  <si>
    <t xml:space="preserve">LOG-00011</t>
  </si>
  <si>
    <t xml:space="preserve">AST-033</t>
  </si>
  <si>
    <t xml:space="preserve">192.168.1.133</t>
  </si>
  <si>
    <t xml:space="preserve">LOG-00012</t>
  </si>
  <si>
    <t xml:space="preserve">AST-008</t>
  </si>
  <si>
    <t xml:space="preserve">192.168.1.67</t>
  </si>
  <si>
    <t xml:space="preserve">LOG-00013</t>
  </si>
  <si>
    <t xml:space="preserve">AST-026</t>
  </si>
  <si>
    <t xml:space="preserve">192.168.1.111</t>
  </si>
  <si>
    <t xml:space="preserve">LOG-00014</t>
  </si>
  <si>
    <t xml:space="preserve">AST-030</t>
  </si>
  <si>
    <t xml:space="preserve">192.168.1.107</t>
  </si>
  <si>
    <t xml:space="preserve">LOG-00015</t>
  </si>
  <si>
    <t xml:space="preserve">192.168.1.168</t>
  </si>
  <si>
    <t xml:space="preserve">LOG-00016</t>
  </si>
  <si>
    <t xml:space="preserve">192.168.1.176</t>
  </si>
  <si>
    <t xml:space="preserve">LOG-00017</t>
  </si>
  <si>
    <t xml:space="preserve">AST-003</t>
  </si>
  <si>
    <t xml:space="preserve">192.168.1.34</t>
  </si>
  <si>
    <t xml:space="preserve">LOG-00018</t>
  </si>
  <si>
    <t xml:space="preserve">192.168.1.160</t>
  </si>
  <si>
    <t xml:space="preserve">LOG-00019</t>
  </si>
  <si>
    <t xml:space="preserve">AST-042</t>
  </si>
  <si>
    <t xml:space="preserve">192.168.1.114</t>
  </si>
  <si>
    <t xml:space="preserve">LOG-00020</t>
  </si>
  <si>
    <t xml:space="preserve">AST-024</t>
  </si>
  <si>
    <t xml:space="preserve">192.168.1.70</t>
  </si>
  <si>
    <t xml:space="preserve">📖  INSTRUCTIONS &amp; HELP GUIDE</t>
  </si>
  <si>
    <t xml:space="preserve">How to use the IT Asset Management Tracker – read before making changes</t>
  </si>
  <si>
    <t xml:space="preserve">  GETTING STARTED</t>
  </si>
  <si>
    <t xml:space="preserve">1. Asset Register</t>
  </si>
  <si>
    <t xml:space="preserve">Primary sheet for all assets. Add new assets starting from row 4. Asset IDs follow format: LAP-001, PRN-002 etc.</t>
  </si>
  <si>
    <t xml:space="preserve">2. Users Sheet</t>
  </si>
  <si>
    <t xml:space="preserve">Maintain an up-to-date list of all employees who can be assigned assets. Required for dropdown lookups.</t>
  </si>
  <si>
    <t xml:space="preserve">3. Transactions</t>
  </si>
  <si>
    <t xml:space="preserve">Log every check-out or check-in here. Transaction ID format: TXN-0001</t>
  </si>
  <si>
    <t xml:space="preserve">4. Maintenance</t>
  </si>
  <si>
    <t xml:space="preserve">Log all repairs and maintenance. Link to Asset ID. Priority levels: Critical &gt; High &gt; Medium &gt; Low</t>
  </si>
  <si>
    <t xml:space="preserve">  ASSET ID FORMAT</t>
  </si>
  <si>
    <t xml:space="preserve">Format</t>
  </si>
  <si>
    <t xml:space="preserve">PREFIX-NNN  (e.g., LAP-001)  |  Prefix = 3-letter category code  |  NNN = 3-digit sequential number</t>
  </si>
  <si>
    <t xml:space="preserve">Prefixes</t>
  </si>
  <si>
    <t xml:space="preserve">LAP=Laptop | DES=Desktop | MON=Monitor | PRN=Printer | SRV=Server | NET=Network | PHN=Phone | TAB=Tablet | PRJ=Projector | UPS=UPS</t>
  </si>
  <si>
    <t xml:space="preserve">Auto-numbering</t>
  </si>
  <si>
    <t xml:space="preserve">Check the last used number in Asset Register column A and increment by 1 for each new asset in that category</t>
  </si>
  <si>
    <t xml:space="preserve">  COLOR CODING</t>
  </si>
  <si>
    <t xml:space="preserve">🟢 Green</t>
  </si>
  <si>
    <t xml:space="preserve">Available / Active / Good status</t>
  </si>
  <si>
    <t xml:space="preserve">🔵 Blue</t>
  </si>
  <si>
    <t xml:space="preserve">In Use / Open transaction</t>
  </si>
  <si>
    <t xml:space="preserve">🟠 Orange</t>
  </si>
  <si>
    <t xml:space="preserve">Under Repair / Warning / High priority</t>
  </si>
  <si>
    <t xml:space="preserve">🔴 Red</t>
  </si>
  <si>
    <t xml:space="preserve">Retired / Expired / Critical / Lost</t>
  </si>
  <si>
    <t xml:space="preserve">🟡 Yellow</t>
  </si>
  <si>
    <t xml:space="preserve">Expiring Soon / Medium priority / Pending</t>
  </si>
  <si>
    <t xml:space="preserve">  DATA VALIDATION</t>
  </si>
  <si>
    <t xml:space="preserve">Dropdowns</t>
  </si>
  <si>
    <t xml:space="preserve">All dropdown values are managed in the 'Lookup Tables' sheet. Edit values there to update dropdowns everywhere.</t>
  </si>
  <si>
    <t xml:space="preserve">Dates</t>
  </si>
  <si>
    <t xml:space="preserve">Always enter dates in DD-MMM-YYYY format (e.g., 15-Jan-2025) or use the date picker</t>
  </si>
  <si>
    <t xml:space="preserve">Currency</t>
  </si>
  <si>
    <t xml:space="preserve">Enter amounts in QAR without symbols. Format is applied automatically.</t>
  </si>
  <si>
    <t xml:space="preserve">  BEST PRACTICES</t>
  </si>
  <si>
    <t xml:space="preserve">Never delete rows</t>
  </si>
  <si>
    <t xml:space="preserve">Mark assets as 'Retired' instead of deleting. This preserves history and audit trail.</t>
  </si>
  <si>
    <t xml:space="preserve">Regular updates</t>
  </si>
  <si>
    <t xml:space="preserve">Update asset status and assignment in real-time for accurate dashboard data.</t>
  </si>
  <si>
    <t xml:space="preserve">Warranty review</t>
  </si>
  <si>
    <t xml:space="preserve">Check 'Warranty Alerts' sheet monthly to proactively renew warranties.</t>
  </si>
  <si>
    <t xml:space="preserve">Audit log</t>
  </si>
  <si>
    <t xml:space="preserve">For manual changes to critical fields, record them in the Audit Log sheet.</t>
  </si>
  <si>
    <t xml:space="preserve">Backups</t>
  </si>
  <si>
    <t xml:space="preserve">Save a dated backup copy at the end of each month: IT_Assets_YYYY-MM.xlsx</t>
  </si>
  <si>
    <t xml:space="preserve">  FORMULAS REFERENCE</t>
  </si>
  <si>
    <t xml:space="preserve">Asset Count (User)</t>
  </si>
  <si>
    <t xml:space="preserve">Category Total</t>
  </si>
  <si>
    <t xml:space="preserve">Dept. Maintenance Cost</t>
  </si>
  <si>
    <t xml:space="preserve">  GOOGLE SHEETS NOTES</t>
  </si>
  <si>
    <t xml:space="preserve">QUERY equivalent</t>
  </si>
  <si>
    <t xml:space="preserve">Google Sheets: =QUERY(sheet, "SELECT A,B,C,Q WHERE Q=In Use", 1)</t>
  </si>
  <si>
    <t xml:space="preserve">FILTER equivalent</t>
  </si>
  <si>
    <t xml:space="preserve">Google Sheets: =FILTER(A4:T500, Q4:Q500="Available")</t>
  </si>
  <si>
    <t xml:space="preserve">Apps Script</t>
  </si>
  <si>
    <t xml:space="preserve">Use Apps Script for auto-email on warranty expiry, auto-ID generation, and change logging.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</si>
</sst>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#,##0.00"/>
    <numFmt numFmtId="168" formatCode="dd\-mmm\-yyyy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32"/>
      <color rgb="FF1E3A5F"/>
      <name val="Arial"/>
      <family val="0"/>
      <charset val="1"/>
    </font>
    <font>
      <b val="true"/>
      <sz val="32"/>
      <color rgb="FF0D7377"/>
      <name val="Arial"/>
      <family val="0"/>
      <charset val="1"/>
    </font>
    <font>
      <b val="true"/>
      <sz val="32"/>
      <color rgb="FF27AE60"/>
      <name val="Arial"/>
      <family val="0"/>
      <charset val="1"/>
    </font>
    <font>
      <b val="true"/>
      <sz val="32"/>
      <color rgb="FFE67E22"/>
      <name val="Arial"/>
      <family val="0"/>
      <charset val="1"/>
    </font>
    <font>
      <sz val="9"/>
      <color rgb="FF95A5A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8"/>
      <color rgb="FFE74C3C"/>
      <name val="Arial"/>
      <family val="0"/>
      <charset val="1"/>
    </font>
    <font>
      <b val="true"/>
      <sz val="28"/>
      <color rgb="FFE67E22"/>
      <name val="Arial"/>
      <family val="0"/>
      <charset val="1"/>
    </font>
    <font>
      <b val="true"/>
      <sz val="28"/>
      <color rgb="FFF5A623"/>
      <name val="Arial"/>
      <family val="0"/>
      <charset val="1"/>
    </font>
    <font>
      <b val="true"/>
      <sz val="28"/>
      <color rgb="FF0D737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i val="true"/>
      <sz val="9"/>
      <color rgb="FF2C3E50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sz val="10"/>
      <color rgb="FF2C3E5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2C3E50"/>
      </patternFill>
    </fill>
    <fill>
      <patternFill patternType="solid">
        <fgColor rgb="FF0D7377"/>
        <bgColor rgb="FF2980B9"/>
      </patternFill>
    </fill>
    <fill>
      <patternFill patternType="solid">
        <fgColor rgb="FF27AE60"/>
        <bgColor rgb="FF14A085"/>
      </patternFill>
    </fill>
    <fill>
      <patternFill patternType="solid">
        <fgColor rgb="FFE67E22"/>
        <bgColor rgb="FFF79646"/>
      </patternFill>
    </fill>
    <fill>
      <patternFill patternType="solid">
        <fgColor rgb="FFFFFFFF"/>
        <bgColor rgb="FFF9F9F9"/>
      </patternFill>
    </fill>
    <fill>
      <patternFill patternType="solid">
        <fgColor rgb="FFE74C3C"/>
        <bgColor rgb="FFC0504D"/>
      </patternFill>
    </fill>
    <fill>
      <patternFill patternType="solid">
        <fgColor rgb="FFF5A623"/>
        <bgColor rgb="FFF79646"/>
      </patternFill>
    </fill>
    <fill>
      <patternFill patternType="solid">
        <fgColor rgb="FFECF0F1"/>
        <bgColor rgb="FFF9F9F9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9F9F9"/>
      </patternFill>
    </fill>
    <fill>
      <patternFill patternType="solid">
        <fgColor rgb="FF14A085"/>
        <bgColor rgb="FF27AE60"/>
      </patternFill>
    </fill>
    <fill>
      <patternFill patternType="solid">
        <fgColor rgb="FFFADBD8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BDBDBD"/>
      <rgbColor rgb="FF878787"/>
      <rgbColor rgb="FF7F8C8D"/>
      <rgbColor rgb="FF8E44AD"/>
      <rgbColor rgb="FFFEF9E7"/>
      <rgbColor rgb="FFD6EAF8"/>
      <rgbColor rgb="FF660066"/>
      <rgbColor rgb="FFF79646"/>
      <rgbColor rgb="FF2980B9"/>
      <rgbColor rgb="FFD9D9D9"/>
      <rgbColor rgb="FF000080"/>
      <rgbColor rgb="FFFF00FF"/>
      <rgbColor rgb="FFFFFF00"/>
      <rgbColor rgb="FF00FFFF"/>
      <rgbColor rgb="FF800080"/>
      <rgbColor rgb="FF800000"/>
      <rgbColor rgb="FF14A085"/>
      <rgbColor rgb="FF0000FF"/>
      <rgbColor rgb="FF00CCFF"/>
      <rgbColor rgb="FFECF0F1"/>
      <rgbColor rgb="FFD5F5E3"/>
      <rgbColor rgb="FFF9F9F9"/>
      <rgbColor rgb="FF99CCFF"/>
      <rgbColor rgb="FFFF99CC"/>
      <rgbColor rgb="FFCC99FF"/>
      <rgbColor rgb="FFFADBD8"/>
      <rgbColor rgb="FF4F81BD"/>
      <rgbColor rgb="FF4BACC6"/>
      <rgbColor rgb="FF9BBB59"/>
      <rgbColor rgb="FFFFCC00"/>
      <rgbColor rgb="FFF5A623"/>
      <rgbColor rgb="FFE67E22"/>
      <rgbColor rgb="FF8064A2"/>
      <rgbColor rgb="FF95A5A6"/>
      <rgbColor rgb="FF1E3A5F"/>
      <rgbColor rgb="FF27AE60"/>
      <rgbColor rgb="FF003300"/>
      <rgbColor rgb="FF333300"/>
      <rgbColor rgb="FFE74C3C"/>
      <rgbColor rgb="FFC0504D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Assets by Status per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Dashboard!$A$18:$A$27</c:f>
              <c:strCache>
                <c:ptCount val="10"/>
                <c:pt idx="0">
                  <c:v>Laptop</c:v>
                </c:pt>
                <c:pt idx="1">
                  <c:v>Desktop</c:v>
                </c:pt>
                <c:pt idx="2">
                  <c:v>Monitor</c:v>
                </c:pt>
                <c:pt idx="3">
                  <c:v>Printer</c:v>
                </c:pt>
                <c:pt idx="4">
                  <c:v>Server</c:v>
                </c:pt>
                <c:pt idx="5">
                  <c:v>Network</c:v>
                </c:pt>
                <c:pt idx="6">
                  <c:v>Phone</c:v>
                </c:pt>
                <c:pt idx="7">
                  <c:v>Tablet</c:v>
                </c:pt>
                <c:pt idx="8">
                  <c:v>Projector</c:v>
                </c:pt>
                <c:pt idx="9">
                  <c:v>UPS</c:v>
                </c:pt>
              </c:strCache>
            </c:strRef>
          </c:cat>
          <c:val>
            <c:numRef>
              <c:f>Dashboard!$B$18:$B$27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</c:ser>
        <c:ser>
          <c:idx val="1"/>
          <c:order val="1"/>
          <c:tx>
            <c:strRef>
              <c:f>Dashboard!C17</c:f>
              <c:strCache>
                <c:ptCount val="1"/>
                <c:pt idx="0">
                  <c:v>In Use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Dashboard!$A$18:$A$27</c:f>
              <c:strCache>
                <c:ptCount val="10"/>
                <c:pt idx="0">
                  <c:v>Laptop</c:v>
                </c:pt>
                <c:pt idx="1">
                  <c:v>Desktop</c:v>
                </c:pt>
                <c:pt idx="2">
                  <c:v>Monitor</c:v>
                </c:pt>
                <c:pt idx="3">
                  <c:v>Printer</c:v>
                </c:pt>
                <c:pt idx="4">
                  <c:v>Server</c:v>
                </c:pt>
                <c:pt idx="5">
                  <c:v>Network</c:v>
                </c:pt>
                <c:pt idx="6">
                  <c:v>Phone</c:v>
                </c:pt>
                <c:pt idx="7">
                  <c:v>Tablet</c:v>
                </c:pt>
                <c:pt idx="8">
                  <c:v>Projector</c:v>
                </c:pt>
                <c:pt idx="9">
                  <c:v>UPS</c:v>
                </c:pt>
              </c:strCache>
            </c:strRef>
          </c:cat>
          <c:val>
            <c:numRef>
              <c:f>Dashboard!$C$18:$C$27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</c:ser>
        <c:ser>
          <c:idx val="2"/>
          <c:order val="2"/>
          <c:tx>
            <c:strRef>
              <c:f>Dashboard!D17</c:f>
              <c:strCache>
                <c:ptCount val="1"/>
                <c:pt idx="0">
                  <c:v>Available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Dashboard!$A$18:$A$27</c:f>
              <c:strCache>
                <c:ptCount val="10"/>
                <c:pt idx="0">
                  <c:v>Laptop</c:v>
                </c:pt>
                <c:pt idx="1">
                  <c:v>Desktop</c:v>
                </c:pt>
                <c:pt idx="2">
                  <c:v>Monitor</c:v>
                </c:pt>
                <c:pt idx="3">
                  <c:v>Printer</c:v>
                </c:pt>
                <c:pt idx="4">
                  <c:v>Server</c:v>
                </c:pt>
                <c:pt idx="5">
                  <c:v>Network</c:v>
                </c:pt>
                <c:pt idx="6">
                  <c:v>Phone</c:v>
                </c:pt>
                <c:pt idx="7">
                  <c:v>Tablet</c:v>
                </c:pt>
                <c:pt idx="8">
                  <c:v>Projector</c:v>
                </c:pt>
                <c:pt idx="9">
                  <c:v>UPS</c:v>
                </c:pt>
              </c:strCache>
            </c:strRef>
          </c:cat>
          <c:val>
            <c:numRef>
              <c:f>Dashboard!$D$18:$D$27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ser>
          <c:idx val="3"/>
          <c:order val="3"/>
          <c:tx>
            <c:strRef>
              <c:f>Dashboard!E17</c:f>
              <c:strCache>
                <c:ptCount val="1"/>
                <c:pt idx="0">
                  <c:v>Under Repair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Dashboard!$A$18:$A$27</c:f>
              <c:strCache>
                <c:ptCount val="10"/>
                <c:pt idx="0">
                  <c:v>Laptop</c:v>
                </c:pt>
                <c:pt idx="1">
                  <c:v>Desktop</c:v>
                </c:pt>
                <c:pt idx="2">
                  <c:v>Monitor</c:v>
                </c:pt>
                <c:pt idx="3">
                  <c:v>Printer</c:v>
                </c:pt>
                <c:pt idx="4">
                  <c:v>Server</c:v>
                </c:pt>
                <c:pt idx="5">
                  <c:v>Network</c:v>
                </c:pt>
                <c:pt idx="6">
                  <c:v>Phone</c:v>
                </c:pt>
                <c:pt idx="7">
                  <c:v>Tablet</c:v>
                </c:pt>
                <c:pt idx="8">
                  <c:v>Projector</c:v>
                </c:pt>
                <c:pt idx="9">
                  <c:v>UPS</c:v>
                </c:pt>
              </c:strCache>
            </c:strRef>
          </c:cat>
          <c:val>
            <c:numRef>
              <c:f>Dashboard!$E$18:$E$27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4"/>
          <c:order val="4"/>
          <c:tx>
            <c:strRef>
              <c:f>Dashboard!F17</c:f>
              <c:strCache>
                <c:ptCount val="1"/>
                <c:pt idx="0">
                  <c:v>Retired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Dashboard!$A$18:$A$27</c:f>
              <c:strCache>
                <c:ptCount val="10"/>
                <c:pt idx="0">
                  <c:v>Laptop</c:v>
                </c:pt>
                <c:pt idx="1">
                  <c:v>Desktop</c:v>
                </c:pt>
                <c:pt idx="2">
                  <c:v>Monitor</c:v>
                </c:pt>
                <c:pt idx="3">
                  <c:v>Printer</c:v>
                </c:pt>
                <c:pt idx="4">
                  <c:v>Server</c:v>
                </c:pt>
                <c:pt idx="5">
                  <c:v>Network</c:v>
                </c:pt>
                <c:pt idx="6">
                  <c:v>Phone</c:v>
                </c:pt>
                <c:pt idx="7">
                  <c:v>Tablet</c:v>
                </c:pt>
                <c:pt idx="8">
                  <c:v>Projector</c:v>
                </c:pt>
                <c:pt idx="9">
                  <c:v>UPS</c:v>
                </c:pt>
              </c:strCache>
            </c:strRef>
          </c:cat>
          <c:val>
            <c:numRef>
              <c:f>Dashboard!$F$18:$F$27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70144341"/>
        <c:axId val="23274888"/>
      </c:barChart>
      <c:catAx>
        <c:axId val="701443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74888"/>
        <c:crosses val="autoZero"/>
        <c:auto val="1"/>
        <c:lblAlgn val="ctr"/>
        <c:lblOffset val="100"/>
        <c:noMultiLvlLbl val="0"/>
      </c:catAx>
      <c:valAx>
        <c:axId val="232748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443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Asset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Dashboard!$I$33:$I$38</c:f>
              <c:strCache>
                <c:ptCount val="6"/>
                <c:pt idx="0">
                  <c:v>In Use</c:v>
                </c:pt>
                <c:pt idx="1">
                  <c:v>Available</c:v>
                </c:pt>
                <c:pt idx="2">
                  <c:v>Under Repair</c:v>
                </c:pt>
                <c:pt idx="3">
                  <c:v>Retired</c:v>
                </c:pt>
                <c:pt idx="4">
                  <c:v>Lost/Stolen</c:v>
                </c:pt>
                <c:pt idx="5">
                  <c:v>In Storage</c:v>
                </c:pt>
              </c:strCache>
            </c:strRef>
          </c:cat>
          <c:val>
            <c:numRef>
              <c:f>Dashboard!$J$33:$J$38</c:f>
              <c:numCache>
                <c:formatCode>General</c:formatCode>
                <c:ptCount val="6"/>
                <c:pt idx="0">
                  <c:v>43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78120</xdr:rowOff>
    </xdr:from>
    <xdr:to>
      <xdr:col>8</xdr:col>
      <xdr:colOff>1137240</xdr:colOff>
      <xdr:row>53</xdr:row>
      <xdr:rowOff>15480</xdr:rowOff>
    </xdr:to>
    <xdr:graphicFrame>
      <xdr:nvGraphicFramePr>
        <xdr:cNvPr id="0" name="Chart 1"/>
        <xdr:cNvGraphicFramePr/>
      </xdr:nvGraphicFramePr>
      <xdr:xfrm>
        <a:off x="0" y="6536160"/>
        <a:ext cx="719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31</xdr:row>
      <xdr:rowOff>78120</xdr:rowOff>
    </xdr:from>
    <xdr:to>
      <xdr:col>12</xdr:col>
      <xdr:colOff>512640</xdr:colOff>
      <xdr:row>50</xdr:row>
      <xdr:rowOff>57600</xdr:rowOff>
    </xdr:to>
    <xdr:graphicFrame>
      <xdr:nvGraphicFramePr>
        <xdr:cNvPr id="1" name="Chart 2"/>
        <xdr:cNvGraphicFramePr/>
      </xdr:nvGraphicFramePr>
      <xdr:xfrm>
        <a:off x="6061680" y="6726600"/>
        <a:ext cx="431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false"/>
  </sheetPr>
  <dimension ref="A1:P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10"/>
    <col collapsed="false" customWidth="true" hidden="false" outlineLevel="0" max="8" min="8" style="1" width="2"/>
    <col collapsed="false" customWidth="true" hidden="false" outlineLevel="0" max="9" min="9" style="1" width="18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20"/>
    <col collapsed="false" customWidth="true" hidden="false" outlineLevel="0" max="16" min="14" style="1" width="2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15" hidden="false" customHeight="true" outlineLevel="0" collapsed="false">
      <c r="A4" s="4" t="s">
        <v>2</v>
      </c>
      <c r="B4" s="4"/>
      <c r="C4" s="4"/>
      <c r="E4" s="5" t="s">
        <v>3</v>
      </c>
      <c r="F4" s="5"/>
      <c r="G4" s="5"/>
      <c r="I4" s="6" t="s">
        <v>4</v>
      </c>
      <c r="J4" s="6"/>
      <c r="K4" s="6"/>
      <c r="M4" s="7" t="s">
        <v>5</v>
      </c>
      <c r="N4" s="7"/>
      <c r="O4" s="7"/>
    </row>
    <row r="5" customFormat="false" ht="15" hidden="false" customHeight="true" outlineLevel="0" collapsed="false">
      <c r="A5" s="4"/>
      <c r="B5" s="4"/>
      <c r="C5" s="4"/>
      <c r="E5" s="5"/>
      <c r="F5" s="5"/>
      <c r="G5" s="5"/>
      <c r="I5" s="6"/>
      <c r="J5" s="6"/>
      <c r="K5" s="6"/>
      <c r="M5" s="7"/>
      <c r="N5" s="7"/>
      <c r="O5" s="7"/>
    </row>
    <row r="6" customFormat="false" ht="15" hidden="false" customHeight="true" outlineLevel="0" collapsed="false">
      <c r="A6" s="8" t="n">
        <f aca="false">COUNTA('Asset Register'!A4:A500)-COUNTBLANK('Asset Register'!A4:A500)</f>
        <v>-397</v>
      </c>
      <c r="B6" s="8"/>
      <c r="C6" s="8"/>
      <c r="E6" s="9" t="n">
        <f aca="false">COUNTIF('Asset Register'!Q4:Q500,"In Use")</f>
        <v>43</v>
      </c>
      <c r="F6" s="9"/>
      <c r="G6" s="9"/>
      <c r="I6" s="10" t="n">
        <f aca="false">COUNTIF('Asset Register'!Q4:Q500,"Available")</f>
        <v>3</v>
      </c>
      <c r="J6" s="10"/>
      <c r="K6" s="10"/>
      <c r="M6" s="11" t="n">
        <f aca="false">COUNTIF('Asset Register'!Q4:Q500,"Under Repair")</f>
        <v>3</v>
      </c>
      <c r="N6" s="11"/>
      <c r="O6" s="11"/>
    </row>
    <row r="7" customFormat="false" ht="15" hidden="false" customHeight="true" outlineLevel="0" collapsed="false">
      <c r="A7" s="8"/>
      <c r="B7" s="8"/>
      <c r="C7" s="8"/>
      <c r="E7" s="9"/>
      <c r="F7" s="9"/>
      <c r="G7" s="9"/>
      <c r="I7" s="10"/>
      <c r="J7" s="10"/>
      <c r="K7" s="10"/>
      <c r="M7" s="11"/>
      <c r="N7" s="11"/>
      <c r="O7" s="11"/>
    </row>
    <row r="8" customFormat="false" ht="15" hidden="false" customHeight="true" outlineLevel="0" collapsed="false">
      <c r="A8" s="12" t="s">
        <v>6</v>
      </c>
      <c r="B8" s="12"/>
      <c r="C8" s="12"/>
      <c r="E8" s="12" t="s">
        <v>6</v>
      </c>
      <c r="F8" s="12"/>
      <c r="G8" s="12"/>
      <c r="I8" s="12" t="s">
        <v>6</v>
      </c>
      <c r="J8" s="12"/>
      <c r="K8" s="12"/>
      <c r="M8" s="12" t="s">
        <v>6</v>
      </c>
      <c r="N8" s="12"/>
      <c r="O8" s="12"/>
    </row>
    <row r="10" customFormat="false" ht="15" hidden="false" customHeight="true" outlineLevel="0" collapsed="false">
      <c r="A10" s="13" t="s">
        <v>7</v>
      </c>
      <c r="B10" s="13"/>
      <c r="C10" s="13"/>
      <c r="E10" s="14" t="s">
        <v>8</v>
      </c>
      <c r="F10" s="14"/>
      <c r="G10" s="14"/>
      <c r="I10" s="15" t="s">
        <v>9</v>
      </c>
      <c r="J10" s="15"/>
      <c r="K10" s="15"/>
      <c r="M10" s="16" t="s">
        <v>10</v>
      </c>
      <c r="N10" s="16"/>
      <c r="O10" s="16"/>
    </row>
    <row r="11" customFormat="false" ht="15" hidden="false" customHeight="true" outlineLevel="0" collapsed="false">
      <c r="A11" s="13"/>
      <c r="B11" s="13"/>
      <c r="C11" s="13"/>
      <c r="E11" s="14"/>
      <c r="F11" s="14"/>
      <c r="G11" s="14"/>
      <c r="I11" s="15"/>
      <c r="J11" s="15"/>
      <c r="K11" s="15"/>
      <c r="M11" s="16"/>
      <c r="N11" s="16"/>
      <c r="O11" s="16"/>
    </row>
    <row r="12" customFormat="false" ht="15" hidden="false" customHeight="true" outlineLevel="0" collapsed="false">
      <c r="A12" s="17" t="n">
        <f aca="false">COUNTIF('Asset Register'!Q4:Q500,"Retired")+COUNTIF('Asset Register'!Q4:Q500,"Lost/Stolen")</f>
        <v>0</v>
      </c>
      <c r="B12" s="17"/>
      <c r="C12" s="17"/>
      <c r="E12" s="18" t="n">
        <f aca="false">COUNTIF(Maintenance!Q4:Q500,"Open")+COUNTIF(Maintenance!Q4:Q500,"In Progress")</f>
        <v>2</v>
      </c>
      <c r="F12" s="18"/>
      <c r="G12" s="18"/>
      <c r="I12" s="19" t="n">
        <f aca="false">COUNTIF('Warranty Alerts'!G5:G200,"🟠 Warning")+COUNTIF('Warranty Alerts'!G5:G200,"🔴 Critical")</f>
        <v>4</v>
      </c>
      <c r="J12" s="19"/>
      <c r="K12" s="19"/>
      <c r="M12" s="20" t="n">
        <f aca="false">COUNTIF(Transactions!M4:M500,"Open")</f>
        <v>25</v>
      </c>
      <c r="N12" s="20"/>
      <c r="O12" s="20"/>
    </row>
    <row r="13" customFormat="false" ht="15" hidden="false" customHeight="true" outlineLevel="0" collapsed="false">
      <c r="A13" s="17"/>
      <c r="B13" s="17"/>
      <c r="C13" s="17"/>
      <c r="E13" s="18"/>
      <c r="F13" s="18"/>
      <c r="G13" s="18"/>
      <c r="I13" s="19"/>
      <c r="J13" s="19"/>
      <c r="K13" s="19"/>
      <c r="M13" s="20"/>
      <c r="N13" s="20"/>
      <c r="O13" s="20"/>
    </row>
    <row r="14" customFormat="false" ht="15" hidden="false" customHeight="true" outlineLevel="0" collapsed="false">
      <c r="A14" s="12" t="s">
        <v>11</v>
      </c>
      <c r="B14" s="12"/>
      <c r="C14" s="12"/>
      <c r="E14" s="12" t="s">
        <v>11</v>
      </c>
      <c r="F14" s="12"/>
      <c r="G14" s="12"/>
      <c r="I14" s="12" t="s">
        <v>11</v>
      </c>
      <c r="J14" s="12"/>
      <c r="K14" s="12"/>
      <c r="M14" s="12" t="s">
        <v>11</v>
      </c>
      <c r="N14" s="12"/>
      <c r="O14" s="12"/>
    </row>
    <row r="16" customFormat="false" ht="24" hidden="false" customHeight="true" outlineLevel="0" collapsed="false">
      <c r="A16" s="21" t="s">
        <v>12</v>
      </c>
      <c r="B16" s="21"/>
      <c r="C16" s="21"/>
      <c r="D16" s="21"/>
      <c r="E16" s="21"/>
      <c r="F16" s="21"/>
      <c r="G16" s="21"/>
      <c r="I16" s="21" t="s">
        <v>13</v>
      </c>
      <c r="J16" s="21"/>
      <c r="K16" s="21"/>
      <c r="L16" s="21"/>
      <c r="M16" s="21"/>
      <c r="N16" s="21"/>
      <c r="O16" s="21"/>
      <c r="P16" s="21"/>
    </row>
    <row r="17" customFormat="false" ht="23.25" hidden="false" customHeight="true" outlineLevel="0" collapsed="false">
      <c r="A17" s="22" t="s">
        <v>14</v>
      </c>
      <c r="B17" s="22" t="s">
        <v>15</v>
      </c>
      <c r="C17" s="22" t="s">
        <v>3</v>
      </c>
      <c r="D17" s="22" t="s">
        <v>4</v>
      </c>
      <c r="E17" s="22" t="s">
        <v>5</v>
      </c>
      <c r="F17" s="22" t="s">
        <v>16</v>
      </c>
      <c r="G17" s="22" t="s">
        <v>17</v>
      </c>
      <c r="I17" s="22" t="s">
        <v>18</v>
      </c>
      <c r="J17" s="22" t="s">
        <v>2</v>
      </c>
      <c r="K17" s="22" t="s">
        <v>3</v>
      </c>
      <c r="L17" s="22" t="s">
        <v>4</v>
      </c>
      <c r="M17" s="22" t="s">
        <v>19</v>
      </c>
    </row>
    <row r="18" customFormat="false" ht="15" hidden="false" customHeight="true" outlineLevel="0" collapsed="false">
      <c r="A18" s="23" t="s">
        <v>20</v>
      </c>
      <c r="B18" s="23" t="n">
        <f aca="false">COUNTIF('Asset Register'!C:C,A18)</f>
        <v>5</v>
      </c>
      <c r="C18" s="23" t="n">
        <f aca="false">COUNTIFS('Asset Register'!C:C,A18,'Asset Register'!Q:Q,"In Use")</f>
        <v>4</v>
      </c>
      <c r="D18" s="23" t="n">
        <f aca="false">COUNTIFS('Asset Register'!C:C,A18,'Asset Register'!Q:Q,"Available")</f>
        <v>1</v>
      </c>
      <c r="E18" s="23" t="n">
        <f aca="false">COUNTIFS('Asset Register'!C:C,A18,'Asset Register'!Q:Q,"Under Repair")</f>
        <v>0</v>
      </c>
      <c r="F18" s="23" t="n">
        <f aca="false">COUNTIFS('Asset Register'!C:C,A18,'Asset Register'!Q:Q,"Retired")</f>
        <v>0</v>
      </c>
      <c r="G18" s="24" t="n">
        <f aca="false">IFERROR(C18/B18,0)</f>
        <v>0.8</v>
      </c>
      <c r="I18" s="25" t="s">
        <v>21</v>
      </c>
      <c r="J18" s="23" t="n">
        <f aca="false">COUNTIF('Asset Register'!N:N,I18)</f>
        <v>7</v>
      </c>
      <c r="K18" s="23" t="n">
        <f aca="false">COUNTIFS('Asset Register'!N:N,I18,'Asset Register'!Q:Q,"In Use")</f>
        <v>7</v>
      </c>
      <c r="L18" s="23" t="n">
        <f aca="false">COUNTIFS('Asset Register'!N:N,I18,'Asset Register'!Q:Q,"Available")</f>
        <v>0</v>
      </c>
      <c r="M18" s="26" t="n">
        <f aca="false">SUMIF(Maintenance!E:E,I18,Maintenance!N:N)</f>
        <v>4741.32</v>
      </c>
    </row>
    <row r="19" customFormat="false" ht="15" hidden="false" customHeight="true" outlineLevel="0" collapsed="false">
      <c r="A19" s="27" t="s">
        <v>22</v>
      </c>
      <c r="B19" s="27" t="n">
        <f aca="false">COUNTIF('Asset Register'!C:C,A19)</f>
        <v>5</v>
      </c>
      <c r="C19" s="27" t="n">
        <f aca="false">COUNTIFS('Asset Register'!C:C,A19,'Asset Register'!Q:Q,"In Use")</f>
        <v>4</v>
      </c>
      <c r="D19" s="27" t="n">
        <f aca="false">COUNTIFS('Asset Register'!C:C,A19,'Asset Register'!Q:Q,"Available")</f>
        <v>0</v>
      </c>
      <c r="E19" s="27" t="n">
        <f aca="false">COUNTIFS('Asset Register'!C:C,A19,'Asset Register'!Q:Q,"Under Repair")</f>
        <v>1</v>
      </c>
      <c r="F19" s="27" t="n">
        <f aca="false">COUNTIFS('Asset Register'!C:C,A19,'Asset Register'!Q:Q,"Retired")</f>
        <v>0</v>
      </c>
      <c r="G19" s="28" t="n">
        <f aca="false">IFERROR(C19/B19,0)</f>
        <v>0.8</v>
      </c>
      <c r="I19" s="29" t="s">
        <v>23</v>
      </c>
      <c r="J19" s="27" t="n">
        <f aca="false">COUNTIF('Asset Register'!N:N,I19)</f>
        <v>7</v>
      </c>
      <c r="K19" s="27" t="n">
        <f aca="false">COUNTIFS('Asset Register'!N:N,I19,'Asset Register'!Q:Q,"In Use")</f>
        <v>5</v>
      </c>
      <c r="L19" s="27" t="n">
        <f aca="false">COUNTIFS('Asset Register'!N:N,I19,'Asset Register'!Q:Q,"Available")</f>
        <v>2</v>
      </c>
      <c r="M19" s="30" t="n">
        <f aca="false">SUMIF(Maintenance!E:E,I19,Maintenance!N:N)</f>
        <v>0</v>
      </c>
    </row>
    <row r="20" customFormat="false" ht="15" hidden="false" customHeight="true" outlineLevel="0" collapsed="false">
      <c r="A20" s="23" t="s">
        <v>24</v>
      </c>
      <c r="B20" s="23" t="n">
        <f aca="false">COUNTIF('Asset Register'!C:C,A20)</f>
        <v>5</v>
      </c>
      <c r="C20" s="23" t="n">
        <f aca="false">COUNTIFS('Asset Register'!C:C,A20,'Asset Register'!Q:Q,"In Use")</f>
        <v>5</v>
      </c>
      <c r="D20" s="23" t="n">
        <f aca="false">COUNTIFS('Asset Register'!C:C,A20,'Asset Register'!Q:Q,"Available")</f>
        <v>0</v>
      </c>
      <c r="E20" s="23" t="n">
        <f aca="false">COUNTIFS('Asset Register'!C:C,A20,'Asset Register'!Q:Q,"Under Repair")</f>
        <v>0</v>
      </c>
      <c r="F20" s="23" t="n">
        <f aca="false">COUNTIFS('Asset Register'!C:C,A20,'Asset Register'!Q:Q,"Retired")</f>
        <v>0</v>
      </c>
      <c r="G20" s="24" t="n">
        <f aca="false">IFERROR(C20/B20,0)</f>
        <v>1</v>
      </c>
      <c r="I20" s="25" t="s">
        <v>25</v>
      </c>
      <c r="J20" s="23" t="n">
        <f aca="false">COUNTIF('Asset Register'!N:N,I20)</f>
        <v>6</v>
      </c>
      <c r="K20" s="23" t="n">
        <f aca="false">COUNTIFS('Asset Register'!N:N,I20,'Asset Register'!Q:Q,"In Use")</f>
        <v>3</v>
      </c>
      <c r="L20" s="23" t="n">
        <f aca="false">COUNTIFS('Asset Register'!N:N,I20,'Asset Register'!Q:Q,"Available")</f>
        <v>1</v>
      </c>
      <c r="M20" s="26" t="n">
        <f aca="false">SUMIF(Maintenance!E:E,I20,Maintenance!N:N)</f>
        <v>4516.91</v>
      </c>
    </row>
    <row r="21" customFormat="false" ht="15" hidden="false" customHeight="true" outlineLevel="0" collapsed="false">
      <c r="A21" s="27" t="s">
        <v>26</v>
      </c>
      <c r="B21" s="27" t="n">
        <f aca="false">COUNTIF('Asset Register'!C:C,A21)</f>
        <v>5</v>
      </c>
      <c r="C21" s="27" t="n">
        <f aca="false">COUNTIFS('Asset Register'!C:C,A21,'Asset Register'!Q:Q,"In Use")</f>
        <v>4</v>
      </c>
      <c r="D21" s="27" t="n">
        <f aca="false">COUNTIFS('Asset Register'!C:C,A21,'Asset Register'!Q:Q,"Available")</f>
        <v>1</v>
      </c>
      <c r="E21" s="27" t="n">
        <f aca="false">COUNTIFS('Asset Register'!C:C,A21,'Asset Register'!Q:Q,"Under Repair")</f>
        <v>0</v>
      </c>
      <c r="F21" s="27" t="n">
        <f aca="false">COUNTIFS('Asset Register'!C:C,A21,'Asset Register'!Q:Q,"Retired")</f>
        <v>0</v>
      </c>
      <c r="G21" s="28" t="n">
        <f aca="false">IFERROR(C21/B21,0)</f>
        <v>0.8</v>
      </c>
      <c r="I21" s="29" t="s">
        <v>27</v>
      </c>
      <c r="J21" s="27" t="n">
        <f aca="false">COUNTIF('Asset Register'!N:N,I21)</f>
        <v>6</v>
      </c>
      <c r="K21" s="27" t="n">
        <f aca="false">COUNTIFS('Asset Register'!N:N,I21,'Asset Register'!Q:Q,"In Use")</f>
        <v>6</v>
      </c>
      <c r="L21" s="27" t="n">
        <f aca="false">COUNTIFS('Asset Register'!N:N,I21,'Asset Register'!Q:Q,"Available")</f>
        <v>0</v>
      </c>
      <c r="M21" s="30" t="n">
        <f aca="false">SUMIF(Maintenance!E:E,I21,Maintenance!N:N)</f>
        <v>0</v>
      </c>
    </row>
    <row r="22" customFormat="false" ht="15" hidden="false" customHeight="true" outlineLevel="0" collapsed="false">
      <c r="A22" s="23" t="s">
        <v>28</v>
      </c>
      <c r="B22" s="23" t="n">
        <f aca="false">COUNTIF('Asset Register'!C:C,A22)</f>
        <v>5</v>
      </c>
      <c r="C22" s="23" t="n">
        <f aca="false">COUNTIFS('Asset Register'!C:C,A22,'Asset Register'!Q:Q,"In Use")</f>
        <v>4</v>
      </c>
      <c r="D22" s="23" t="n">
        <f aca="false">COUNTIFS('Asset Register'!C:C,A22,'Asset Register'!Q:Q,"Available")</f>
        <v>0</v>
      </c>
      <c r="E22" s="23" t="n">
        <f aca="false">COUNTIFS('Asset Register'!C:C,A22,'Asset Register'!Q:Q,"Under Repair")</f>
        <v>1</v>
      </c>
      <c r="F22" s="23" t="n">
        <f aca="false">COUNTIFS('Asset Register'!C:C,A22,'Asset Register'!Q:Q,"Retired")</f>
        <v>0</v>
      </c>
      <c r="G22" s="24" t="n">
        <f aca="false">IFERROR(C22/B22,0)</f>
        <v>0.8</v>
      </c>
      <c r="I22" s="25" t="s">
        <v>29</v>
      </c>
      <c r="J22" s="23" t="n">
        <f aca="false">COUNTIF('Asset Register'!N:N,I22)</f>
        <v>6</v>
      </c>
      <c r="K22" s="23" t="n">
        <f aca="false">COUNTIFS('Asset Register'!N:N,I22,'Asset Register'!Q:Q,"In Use")</f>
        <v>6</v>
      </c>
      <c r="L22" s="23" t="n">
        <f aca="false">COUNTIFS('Asset Register'!N:N,I22,'Asset Register'!Q:Q,"Available")</f>
        <v>0</v>
      </c>
      <c r="M22" s="26" t="n">
        <f aca="false">SUMIF(Maintenance!E:E,I22,Maintenance!N:N)</f>
        <v>3819.43</v>
      </c>
    </row>
    <row r="23" customFormat="false" ht="15" hidden="false" customHeight="true" outlineLevel="0" collapsed="false">
      <c r="A23" s="27" t="s">
        <v>30</v>
      </c>
      <c r="B23" s="27" t="n">
        <f aca="false">COUNTIF('Asset Register'!C:C,A23)</f>
        <v>5</v>
      </c>
      <c r="C23" s="27" t="n">
        <f aca="false">COUNTIFS('Asset Register'!C:C,A23,'Asset Register'!Q:Q,"In Use")</f>
        <v>4</v>
      </c>
      <c r="D23" s="27" t="n">
        <f aca="false">COUNTIFS('Asset Register'!C:C,A23,'Asset Register'!Q:Q,"Available")</f>
        <v>0</v>
      </c>
      <c r="E23" s="27" t="n">
        <f aca="false">COUNTIFS('Asset Register'!C:C,A23,'Asset Register'!Q:Q,"Under Repair")</f>
        <v>0</v>
      </c>
      <c r="F23" s="27" t="n">
        <f aca="false">COUNTIFS('Asset Register'!C:C,A23,'Asset Register'!Q:Q,"Retired")</f>
        <v>0</v>
      </c>
      <c r="G23" s="28" t="n">
        <f aca="false">IFERROR(C23/B23,0)</f>
        <v>0.8</v>
      </c>
      <c r="I23" s="29" t="s">
        <v>31</v>
      </c>
      <c r="J23" s="27" t="n">
        <f aca="false">COUNTIF('Asset Register'!N:N,I23)</f>
        <v>6</v>
      </c>
      <c r="K23" s="27" t="n">
        <f aca="false">COUNTIFS('Asset Register'!N:N,I23,'Asset Register'!Q:Q,"In Use")</f>
        <v>4</v>
      </c>
      <c r="L23" s="27" t="n">
        <f aca="false">COUNTIFS('Asset Register'!N:N,I23,'Asset Register'!Q:Q,"Available")</f>
        <v>0</v>
      </c>
      <c r="M23" s="30" t="n">
        <f aca="false">SUMIF(Maintenance!E:E,I23,Maintenance!N:N)</f>
        <v>0</v>
      </c>
    </row>
    <row r="24" customFormat="false" ht="15" hidden="false" customHeight="true" outlineLevel="0" collapsed="false">
      <c r="A24" s="23" t="s">
        <v>32</v>
      </c>
      <c r="B24" s="23" t="n">
        <f aca="false">COUNTIF('Asset Register'!C:C,A24)</f>
        <v>5</v>
      </c>
      <c r="C24" s="23" t="n">
        <f aca="false">COUNTIFS('Asset Register'!C:C,A24,'Asset Register'!Q:Q,"In Use")</f>
        <v>4</v>
      </c>
      <c r="D24" s="23" t="n">
        <f aca="false">COUNTIFS('Asset Register'!C:C,A24,'Asset Register'!Q:Q,"Available")</f>
        <v>0</v>
      </c>
      <c r="E24" s="23" t="n">
        <f aca="false">COUNTIFS('Asset Register'!C:C,A24,'Asset Register'!Q:Q,"Under Repair")</f>
        <v>1</v>
      </c>
      <c r="F24" s="23" t="n">
        <f aca="false">COUNTIFS('Asset Register'!C:C,A24,'Asset Register'!Q:Q,"Retired")</f>
        <v>0</v>
      </c>
      <c r="G24" s="24" t="n">
        <f aca="false">IFERROR(C24/B24,0)</f>
        <v>0.8</v>
      </c>
      <c r="I24" s="25" t="s">
        <v>33</v>
      </c>
      <c r="J24" s="23" t="n">
        <f aca="false">COUNTIF('Asset Register'!N:N,I24)</f>
        <v>6</v>
      </c>
      <c r="K24" s="23" t="n">
        <f aca="false">COUNTIFS('Asset Register'!N:N,I24,'Asset Register'!Q:Q,"In Use")</f>
        <v>6</v>
      </c>
      <c r="L24" s="23" t="n">
        <f aca="false">COUNTIFS('Asset Register'!N:N,I24,'Asset Register'!Q:Q,"Available")</f>
        <v>0</v>
      </c>
      <c r="M24" s="26" t="n">
        <f aca="false">SUMIF(Maintenance!E:E,I24,Maintenance!N:N)</f>
        <v>2979.11</v>
      </c>
    </row>
    <row r="25" customFormat="false" ht="15" hidden="false" customHeight="true" outlineLevel="0" collapsed="false">
      <c r="A25" s="27" t="s">
        <v>34</v>
      </c>
      <c r="B25" s="27" t="n">
        <f aca="false">COUNTIF('Asset Register'!C:C,A25)</f>
        <v>5</v>
      </c>
      <c r="C25" s="27" t="n">
        <f aca="false">COUNTIFS('Asset Register'!C:C,A25,'Asset Register'!Q:Q,"In Use")</f>
        <v>5</v>
      </c>
      <c r="D25" s="27" t="n">
        <f aca="false">COUNTIFS('Asset Register'!C:C,A25,'Asset Register'!Q:Q,"Available")</f>
        <v>0</v>
      </c>
      <c r="E25" s="27" t="n">
        <f aca="false">COUNTIFS('Asset Register'!C:C,A25,'Asset Register'!Q:Q,"Under Repair")</f>
        <v>0</v>
      </c>
      <c r="F25" s="27" t="n">
        <f aca="false">COUNTIFS('Asset Register'!C:C,A25,'Asset Register'!Q:Q,"Retired")</f>
        <v>0</v>
      </c>
      <c r="G25" s="28" t="n">
        <f aca="false">IFERROR(C25/B25,0)</f>
        <v>1</v>
      </c>
      <c r="I25" s="29" t="s">
        <v>35</v>
      </c>
      <c r="J25" s="27" t="n">
        <f aca="false">COUNTIF('Asset Register'!N:N,I25)</f>
        <v>6</v>
      </c>
      <c r="K25" s="27" t="n">
        <f aca="false">COUNTIFS('Asset Register'!N:N,I25,'Asset Register'!Q:Q,"In Use")</f>
        <v>6</v>
      </c>
      <c r="L25" s="27" t="n">
        <f aca="false">COUNTIFS('Asset Register'!N:N,I25,'Asset Register'!Q:Q,"Available")</f>
        <v>0</v>
      </c>
      <c r="M25" s="30" t="n">
        <f aca="false">SUMIF(Maintenance!E:E,I25,Maintenance!N:N)</f>
        <v>0</v>
      </c>
    </row>
    <row r="26" customFormat="false" ht="15" hidden="false" customHeight="true" outlineLevel="0" collapsed="false">
      <c r="A26" s="23" t="s">
        <v>36</v>
      </c>
      <c r="B26" s="23" t="n">
        <f aca="false">COUNTIF('Asset Register'!C:C,A26)</f>
        <v>5</v>
      </c>
      <c r="C26" s="23" t="n">
        <f aca="false">COUNTIFS('Asset Register'!C:C,A26,'Asset Register'!Q:Q,"In Use")</f>
        <v>5</v>
      </c>
      <c r="D26" s="23" t="n">
        <f aca="false">COUNTIFS('Asset Register'!C:C,A26,'Asset Register'!Q:Q,"Available")</f>
        <v>0</v>
      </c>
      <c r="E26" s="23" t="n">
        <f aca="false">COUNTIFS('Asset Register'!C:C,A26,'Asset Register'!Q:Q,"Under Repair")</f>
        <v>0</v>
      </c>
      <c r="F26" s="23" t="n">
        <f aca="false">COUNTIFS('Asset Register'!C:C,A26,'Asset Register'!Q:Q,"Retired")</f>
        <v>0</v>
      </c>
      <c r="G26" s="24" t="n">
        <f aca="false">IFERROR(C26/B26,0)</f>
        <v>1</v>
      </c>
    </row>
    <row r="27" customFormat="false" ht="15" hidden="false" customHeight="true" outlineLevel="0" collapsed="false">
      <c r="A27" s="27" t="s">
        <v>37</v>
      </c>
      <c r="B27" s="27" t="n">
        <f aca="false">COUNTIF('Asset Register'!C:C,A27)</f>
        <v>5</v>
      </c>
      <c r="C27" s="27" t="n">
        <f aca="false">COUNTIFS('Asset Register'!C:C,A27,'Asset Register'!Q:Q,"In Use")</f>
        <v>4</v>
      </c>
      <c r="D27" s="27" t="n">
        <f aca="false">COUNTIFS('Asset Register'!C:C,A27,'Asset Register'!Q:Q,"Available")</f>
        <v>1</v>
      </c>
      <c r="E27" s="27" t="n">
        <f aca="false">COUNTIFS('Asset Register'!C:C,A27,'Asset Register'!Q:Q,"Under Repair")</f>
        <v>0</v>
      </c>
      <c r="F27" s="27" t="n">
        <f aca="false">COUNTIFS('Asset Register'!C:C,A27,'Asset Register'!Q:Q,"Retired")</f>
        <v>0</v>
      </c>
      <c r="G27" s="28" t="n">
        <f aca="false">IFERROR(C27/B27,0)</f>
        <v>0.8</v>
      </c>
    </row>
    <row r="28" customFormat="false" ht="15" hidden="false" customHeight="true" outlineLevel="0" collapsed="false">
      <c r="A28" s="31" t="s">
        <v>38</v>
      </c>
      <c r="B28" s="31" t="n">
        <f aca="false">SUM(B18:B27)</f>
        <v>50</v>
      </c>
      <c r="C28" s="31" t="n">
        <f aca="false">SUM(C18:C27)</f>
        <v>43</v>
      </c>
      <c r="D28" s="31" t="n">
        <f aca="false">SUM(D18:D27)</f>
        <v>3</v>
      </c>
      <c r="E28" s="31" t="n">
        <f aca="false">SUM(E18:E27)</f>
        <v>3</v>
      </c>
      <c r="F28" s="31" t="n">
        <f aca="false">SUM(F18:F27)</f>
        <v>0</v>
      </c>
      <c r="G28" s="32" t="n">
        <f aca="false">IFERROR(C28/B28,0)</f>
        <v>0.86</v>
      </c>
    </row>
    <row r="32" customFormat="false" ht="15" hidden="false" customHeight="true" outlineLevel="0" collapsed="false">
      <c r="I32" s="4" t="s">
        <v>39</v>
      </c>
      <c r="J32" s="4"/>
      <c r="K32" s="4"/>
      <c r="L32" s="4"/>
      <c r="M32" s="4"/>
      <c r="N32" s="4"/>
      <c r="O32" s="4"/>
      <c r="P32" s="4"/>
    </row>
    <row r="33" customFormat="false" ht="15" hidden="false" customHeight="true" outlineLevel="0" collapsed="false">
      <c r="I33" s="33" t="s">
        <v>3</v>
      </c>
      <c r="J33" s="27" t="n">
        <f aca="false">COUNTIF('Asset Register'!Q:Q,I33)</f>
        <v>43</v>
      </c>
    </row>
    <row r="34" customFormat="false" ht="15" hidden="false" customHeight="true" outlineLevel="0" collapsed="false">
      <c r="I34" s="34" t="s">
        <v>4</v>
      </c>
      <c r="J34" s="23" t="n">
        <f aca="false">COUNTIF('Asset Register'!Q:Q,I34)</f>
        <v>3</v>
      </c>
    </row>
    <row r="35" customFormat="false" ht="15" hidden="false" customHeight="true" outlineLevel="0" collapsed="false">
      <c r="I35" s="33" t="s">
        <v>5</v>
      </c>
      <c r="J35" s="27" t="n">
        <f aca="false">COUNTIF('Asset Register'!Q:Q,I35)</f>
        <v>3</v>
      </c>
    </row>
    <row r="36" customFormat="false" ht="15" hidden="false" customHeight="true" outlineLevel="0" collapsed="false">
      <c r="I36" s="34" t="s">
        <v>16</v>
      </c>
      <c r="J36" s="23" t="n">
        <f aca="false">COUNTIF('Asset Register'!Q:Q,I36)</f>
        <v>0</v>
      </c>
    </row>
    <row r="37" customFormat="false" ht="15" hidden="false" customHeight="true" outlineLevel="0" collapsed="false">
      <c r="I37" s="33" t="s">
        <v>40</v>
      </c>
      <c r="J37" s="27" t="n">
        <f aca="false">COUNTIF('Asset Register'!Q:Q,I37)</f>
        <v>0</v>
      </c>
    </row>
    <row r="38" customFormat="false" ht="15" hidden="false" customHeight="true" outlineLevel="0" collapsed="false">
      <c r="I38" s="34" t="s">
        <v>41</v>
      </c>
      <c r="J38" s="23" t="n">
        <f aca="false">COUNTIF('Asset Register'!Q:Q,I38)</f>
        <v>1</v>
      </c>
    </row>
  </sheetData>
  <mergeCells count="29">
    <mergeCell ref="A1:P1"/>
    <mergeCell ref="A2:P2"/>
    <mergeCell ref="A4:C5"/>
    <mergeCell ref="E4:G5"/>
    <mergeCell ref="I4:K5"/>
    <mergeCell ref="M4:O5"/>
    <mergeCell ref="A6:C7"/>
    <mergeCell ref="E6:G7"/>
    <mergeCell ref="I6:K7"/>
    <mergeCell ref="M6:O7"/>
    <mergeCell ref="A8:C8"/>
    <mergeCell ref="E8:G8"/>
    <mergeCell ref="I8:K8"/>
    <mergeCell ref="M8:O8"/>
    <mergeCell ref="A10:C11"/>
    <mergeCell ref="E10:G11"/>
    <mergeCell ref="I10:K11"/>
    <mergeCell ref="M10:O11"/>
    <mergeCell ref="A12:C13"/>
    <mergeCell ref="E12:G13"/>
    <mergeCell ref="I12:K13"/>
    <mergeCell ref="M12:O13"/>
    <mergeCell ref="A14:C14"/>
    <mergeCell ref="E14:G14"/>
    <mergeCell ref="I14:K14"/>
    <mergeCell ref="M14:O14"/>
    <mergeCell ref="A16:G16"/>
    <mergeCell ref="I16:P16"/>
    <mergeCell ref="I32:P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377"/>
    <pageSetUpPr fitToPage="true"/>
  </sheetPr>
  <dimension ref="A1:T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20"/>
    <col collapsed="false" customWidth="true" hidden="false" outlineLevel="0" max="7" min="7" style="1" width="16"/>
    <col collapsed="false" customWidth="true" hidden="false" outlineLevel="0" max="9" min="8" style="1" width="14"/>
    <col collapsed="false" customWidth="true" hidden="false" outlineLevel="0" max="10" min="10" style="1" width="18"/>
    <col collapsed="false" customWidth="true" hidden="false" outlineLevel="0" max="12" min="11" style="1" width="14"/>
    <col collapsed="false" customWidth="true" hidden="false" outlineLevel="0" max="13" min="13" style="1" width="15"/>
    <col collapsed="false" customWidth="true" hidden="false" outlineLevel="0" max="14" min="14" style="1" width="14"/>
    <col collapsed="false" customWidth="true" hidden="false" outlineLevel="0" max="15" min="15" style="1" width="18"/>
    <col collapsed="false" customWidth="true" hidden="false" outlineLevel="0" max="16" min="16" style="1" width="20"/>
    <col collapsed="false" customWidth="true" hidden="false" outlineLevel="0" max="17" min="17" style="1" width="14"/>
    <col collapsed="false" customWidth="true" hidden="false" outlineLevel="0" max="18" min="18" style="1" width="12"/>
    <col collapsed="false" customWidth="true" hidden="false" outlineLevel="0" max="19" min="19" style="1" width="18"/>
    <col collapsed="false" customWidth="true" hidden="false" outlineLevel="0" max="20" min="20" style="1" width="24"/>
  </cols>
  <sheetData>
    <row r="1" customFormat="false" ht="36" hidden="false" customHeight="true" outlineLevel="0" collapsed="false">
      <c r="A1" s="35" t="s">
        <v>42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customFormat="false" ht="19.5" hidden="false" customHeight="true" outlineLevel="0" collapsed="false">
      <c r="A2" s="3" t="s">
        <v>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30" hidden="false" customHeight="true" outlineLevel="0" collapsed="false">
      <c r="A3" s="22" t="s">
        <v>44</v>
      </c>
      <c r="B3" s="22" t="s">
        <v>45</v>
      </c>
      <c r="C3" s="22" t="s">
        <v>14</v>
      </c>
      <c r="D3" s="22" t="s">
        <v>46</v>
      </c>
      <c r="E3" s="22" t="s">
        <v>47</v>
      </c>
      <c r="F3" s="22" t="s">
        <v>48</v>
      </c>
      <c r="G3" s="22" t="s">
        <v>49</v>
      </c>
      <c r="H3" s="22" t="s">
        <v>50</v>
      </c>
      <c r="I3" s="22" t="s">
        <v>51</v>
      </c>
      <c r="J3" s="22" t="s">
        <v>52</v>
      </c>
      <c r="K3" s="22" t="s">
        <v>53</v>
      </c>
      <c r="L3" s="22" t="s">
        <v>54</v>
      </c>
      <c r="M3" s="22" t="s">
        <v>55</v>
      </c>
      <c r="N3" s="22" t="s">
        <v>18</v>
      </c>
      <c r="O3" s="22" t="s">
        <v>56</v>
      </c>
      <c r="P3" s="22" t="s">
        <v>57</v>
      </c>
      <c r="Q3" s="22" t="s">
        <v>58</v>
      </c>
      <c r="R3" s="22" t="s">
        <v>59</v>
      </c>
      <c r="S3" s="22" t="s">
        <v>60</v>
      </c>
      <c r="T3" s="22" t="s">
        <v>61</v>
      </c>
    </row>
    <row r="4" customFormat="false" ht="15" hidden="false" customHeight="true" outlineLevel="0" collapsed="false">
      <c r="A4" s="25" t="s">
        <v>62</v>
      </c>
      <c r="B4" s="25" t="s">
        <v>63</v>
      </c>
      <c r="C4" s="25" t="s">
        <v>20</v>
      </c>
      <c r="D4" s="25"/>
      <c r="E4" s="25" t="s">
        <v>64</v>
      </c>
      <c r="F4" s="25" t="s">
        <v>65</v>
      </c>
      <c r="G4" s="25" t="s">
        <v>66</v>
      </c>
      <c r="H4" s="36" t="n">
        <v>45506</v>
      </c>
      <c r="I4" s="37" t="n">
        <v>2336.69</v>
      </c>
      <c r="J4" s="25" t="s">
        <v>67</v>
      </c>
      <c r="K4" s="36" t="n">
        <v>45506</v>
      </c>
      <c r="L4" s="36" t="n">
        <v>46601</v>
      </c>
      <c r="M4" s="25" t="str">
        <f aca="true">IF(L4="","N/A",IF(L4&lt;TODAY(),"Expired",IF(L4&lt;TODAY()+90,"Expiring Soon","Active")))</f>
        <v>Active</v>
      </c>
      <c r="N4" s="25" t="s">
        <v>21</v>
      </c>
      <c r="O4" s="25" t="s">
        <v>68</v>
      </c>
      <c r="P4" s="25" t="s">
        <v>69</v>
      </c>
      <c r="Q4" s="38" t="s">
        <v>3</v>
      </c>
      <c r="R4" s="25" t="s">
        <v>70</v>
      </c>
      <c r="S4" s="25" t="s">
        <v>71</v>
      </c>
      <c r="T4" s="25"/>
    </row>
    <row r="5" customFormat="false" ht="15" hidden="false" customHeight="true" outlineLevel="0" collapsed="false">
      <c r="A5" s="29" t="s">
        <v>72</v>
      </c>
      <c r="B5" s="29" t="s">
        <v>73</v>
      </c>
      <c r="C5" s="29" t="s">
        <v>22</v>
      </c>
      <c r="D5" s="29"/>
      <c r="E5" s="29" t="s">
        <v>74</v>
      </c>
      <c r="F5" s="29" t="s">
        <v>75</v>
      </c>
      <c r="G5" s="29" t="s">
        <v>76</v>
      </c>
      <c r="H5" s="39" t="n">
        <v>45878</v>
      </c>
      <c r="I5" s="40" t="n">
        <v>2139.78</v>
      </c>
      <c r="J5" s="29" t="s">
        <v>77</v>
      </c>
      <c r="K5" s="39" t="n">
        <v>45878</v>
      </c>
      <c r="L5" s="39" t="n">
        <v>46973</v>
      </c>
      <c r="M5" s="29" t="str">
        <f aca="true">IF(L5="","N/A",IF(L5&lt;TODAY(),"Expired",IF(L5&lt;TODAY()+90,"Expiring Soon","Active")))</f>
        <v>Active</v>
      </c>
      <c r="N5" s="29" t="s">
        <v>23</v>
      </c>
      <c r="O5" s="29" t="s">
        <v>68</v>
      </c>
      <c r="P5" s="29" t="s">
        <v>78</v>
      </c>
      <c r="Q5" s="38" t="s">
        <v>3</v>
      </c>
      <c r="R5" s="29" t="s">
        <v>79</v>
      </c>
      <c r="S5" s="29" t="s">
        <v>80</v>
      </c>
      <c r="T5" s="29"/>
    </row>
    <row r="6" customFormat="false" ht="15" hidden="false" customHeight="true" outlineLevel="0" collapsed="false">
      <c r="A6" s="25" t="s">
        <v>81</v>
      </c>
      <c r="B6" s="25" t="s">
        <v>82</v>
      </c>
      <c r="C6" s="25" t="s">
        <v>24</v>
      </c>
      <c r="D6" s="25"/>
      <c r="E6" s="25" t="s">
        <v>74</v>
      </c>
      <c r="F6" s="25" t="s">
        <v>83</v>
      </c>
      <c r="G6" s="25" t="s">
        <v>84</v>
      </c>
      <c r="H6" s="36" t="n">
        <v>46056</v>
      </c>
      <c r="I6" s="37" t="n">
        <v>6191.06</v>
      </c>
      <c r="J6" s="25" t="s">
        <v>67</v>
      </c>
      <c r="K6" s="36" t="n">
        <v>46056</v>
      </c>
      <c r="L6" s="36" t="n">
        <v>47151</v>
      </c>
      <c r="M6" s="25" t="str">
        <f aca="true">IF(L6="","N/A",IF(L6&lt;TODAY(),"Expired",IF(L6&lt;TODAY()+90,"Expiring Soon","Active")))</f>
        <v>Active</v>
      </c>
      <c r="N6" s="25" t="s">
        <v>25</v>
      </c>
      <c r="O6" s="25" t="s">
        <v>85</v>
      </c>
      <c r="P6" s="25" t="s">
        <v>86</v>
      </c>
      <c r="Q6" s="38" t="s">
        <v>3</v>
      </c>
      <c r="R6" s="25" t="s">
        <v>87</v>
      </c>
      <c r="S6" s="25"/>
      <c r="T6" s="25"/>
    </row>
    <row r="7" customFormat="false" ht="15" hidden="false" customHeight="true" outlineLevel="0" collapsed="false">
      <c r="A7" s="29" t="s">
        <v>88</v>
      </c>
      <c r="B7" s="29" t="s">
        <v>89</v>
      </c>
      <c r="C7" s="29" t="s">
        <v>26</v>
      </c>
      <c r="D7" s="29"/>
      <c r="E7" s="29" t="s">
        <v>90</v>
      </c>
      <c r="F7" s="29" t="s">
        <v>91</v>
      </c>
      <c r="G7" s="29" t="s">
        <v>92</v>
      </c>
      <c r="H7" s="39" t="n">
        <v>45291</v>
      </c>
      <c r="I7" s="40" t="n">
        <v>1225.37</v>
      </c>
      <c r="J7" s="29" t="s">
        <v>93</v>
      </c>
      <c r="K7" s="39" t="n">
        <v>45291</v>
      </c>
      <c r="L7" s="39" t="n">
        <v>46021</v>
      </c>
      <c r="M7" s="29" t="str">
        <f aca="true">IF(L7="","N/A",IF(L7&lt;TODAY(),"Expired",IF(L7&lt;TODAY()+90,"Expiring Soon","Active")))</f>
        <v>Expired</v>
      </c>
      <c r="N7" s="29" t="s">
        <v>27</v>
      </c>
      <c r="O7" s="29" t="s">
        <v>94</v>
      </c>
      <c r="P7" s="29" t="s">
        <v>95</v>
      </c>
      <c r="Q7" s="38" t="s">
        <v>3</v>
      </c>
      <c r="R7" s="29" t="s">
        <v>79</v>
      </c>
      <c r="S7" s="29"/>
      <c r="T7" s="29"/>
    </row>
    <row r="8" customFormat="false" ht="15" hidden="false" customHeight="true" outlineLevel="0" collapsed="false">
      <c r="A8" s="25" t="s">
        <v>96</v>
      </c>
      <c r="B8" s="25" t="s">
        <v>97</v>
      </c>
      <c r="C8" s="25" t="s">
        <v>28</v>
      </c>
      <c r="D8" s="25"/>
      <c r="E8" s="25" t="s">
        <v>77</v>
      </c>
      <c r="F8" s="25" t="s">
        <v>98</v>
      </c>
      <c r="G8" s="25" t="s">
        <v>99</v>
      </c>
      <c r="H8" s="36" t="n">
        <v>45908</v>
      </c>
      <c r="I8" s="37" t="n">
        <v>4640.3</v>
      </c>
      <c r="J8" s="25" t="s">
        <v>93</v>
      </c>
      <c r="K8" s="36" t="n">
        <v>45908</v>
      </c>
      <c r="L8" s="36" t="n">
        <v>47003</v>
      </c>
      <c r="M8" s="25" t="str">
        <f aca="true">IF(L8="","N/A",IF(L8&lt;TODAY(),"Expired",IF(L8&lt;TODAY()+90,"Expiring Soon","Active")))</f>
        <v>Active</v>
      </c>
      <c r="N8" s="25" t="s">
        <v>29</v>
      </c>
      <c r="O8" s="25" t="s">
        <v>94</v>
      </c>
      <c r="P8" s="25" t="s">
        <v>100</v>
      </c>
      <c r="Q8" s="38" t="s">
        <v>3</v>
      </c>
      <c r="R8" s="25" t="s">
        <v>87</v>
      </c>
      <c r="S8" s="25"/>
      <c r="T8" s="25"/>
    </row>
    <row r="9" customFormat="false" ht="15" hidden="false" customHeight="true" outlineLevel="0" collapsed="false">
      <c r="A9" s="29" t="s">
        <v>101</v>
      </c>
      <c r="B9" s="29" t="s">
        <v>102</v>
      </c>
      <c r="C9" s="29" t="s">
        <v>30</v>
      </c>
      <c r="D9" s="29"/>
      <c r="E9" s="29" t="s">
        <v>103</v>
      </c>
      <c r="F9" s="29" t="s">
        <v>104</v>
      </c>
      <c r="G9" s="29" t="s">
        <v>105</v>
      </c>
      <c r="H9" s="39" t="n">
        <v>45603</v>
      </c>
      <c r="I9" s="40" t="n">
        <v>6298.01</v>
      </c>
      <c r="J9" s="29" t="s">
        <v>106</v>
      </c>
      <c r="K9" s="39" t="n">
        <v>45603</v>
      </c>
      <c r="L9" s="39" t="n">
        <v>45968</v>
      </c>
      <c r="M9" s="29" t="str">
        <f aca="true">IF(L9="","N/A",IF(L9&lt;TODAY(),"Expired",IF(L9&lt;TODAY()+90,"Expiring Soon","Active")))</f>
        <v>Expired</v>
      </c>
      <c r="N9" s="29" t="s">
        <v>31</v>
      </c>
      <c r="O9" s="29" t="s">
        <v>107</v>
      </c>
      <c r="P9" s="29"/>
      <c r="Q9" s="29" t="s">
        <v>41</v>
      </c>
      <c r="R9" s="29" t="s">
        <v>79</v>
      </c>
      <c r="S9" s="29"/>
      <c r="T9" s="29"/>
    </row>
    <row r="10" customFormat="false" ht="15" hidden="false" customHeight="true" outlineLevel="0" collapsed="false">
      <c r="A10" s="25" t="s">
        <v>108</v>
      </c>
      <c r="B10" s="25" t="s">
        <v>109</v>
      </c>
      <c r="C10" s="25" t="s">
        <v>32</v>
      </c>
      <c r="D10" s="25"/>
      <c r="E10" s="25" t="s">
        <v>90</v>
      </c>
      <c r="F10" s="25" t="s">
        <v>110</v>
      </c>
      <c r="G10" s="25" t="s">
        <v>111</v>
      </c>
      <c r="H10" s="36" t="n">
        <v>45342</v>
      </c>
      <c r="I10" s="37" t="n">
        <v>2071.3</v>
      </c>
      <c r="J10" s="25" t="s">
        <v>90</v>
      </c>
      <c r="K10" s="36" t="n">
        <v>45342</v>
      </c>
      <c r="L10" s="36" t="n">
        <v>46437</v>
      </c>
      <c r="M10" s="25" t="str">
        <f aca="true">IF(L10="","N/A",IF(L10&lt;TODAY(),"Expired",IF(L10&lt;TODAY()+90,"Expiring Soon","Active")))</f>
        <v>Active</v>
      </c>
      <c r="N10" s="25" t="s">
        <v>33</v>
      </c>
      <c r="O10" s="25" t="s">
        <v>112</v>
      </c>
      <c r="P10" s="25" t="s">
        <v>113</v>
      </c>
      <c r="Q10" s="38" t="s">
        <v>3</v>
      </c>
      <c r="R10" s="25" t="s">
        <v>87</v>
      </c>
      <c r="S10" s="25" t="s">
        <v>71</v>
      </c>
      <c r="T10" s="25"/>
    </row>
    <row r="11" customFormat="false" ht="15" hidden="false" customHeight="true" outlineLevel="0" collapsed="false">
      <c r="A11" s="29" t="s">
        <v>114</v>
      </c>
      <c r="B11" s="29" t="s">
        <v>115</v>
      </c>
      <c r="C11" s="29" t="s">
        <v>34</v>
      </c>
      <c r="D11" s="29"/>
      <c r="E11" s="29" t="s">
        <v>64</v>
      </c>
      <c r="F11" s="29" t="s">
        <v>116</v>
      </c>
      <c r="G11" s="29" t="s">
        <v>117</v>
      </c>
      <c r="H11" s="39" t="n">
        <v>45123</v>
      </c>
      <c r="I11" s="40" t="n">
        <v>3345.92</v>
      </c>
      <c r="J11" s="29" t="s">
        <v>64</v>
      </c>
      <c r="K11" s="39" t="n">
        <v>45123</v>
      </c>
      <c r="L11" s="39" t="n">
        <v>46218</v>
      </c>
      <c r="M11" s="29" t="str">
        <f aca="true">IF(L11="","N/A",IF(L11&lt;TODAY(),"Expired",IF(L11&lt;TODAY()+90,"Expiring Soon","Active")))</f>
        <v>Active</v>
      </c>
      <c r="N11" s="29" t="s">
        <v>35</v>
      </c>
      <c r="O11" s="29" t="s">
        <v>94</v>
      </c>
      <c r="P11" s="29" t="s">
        <v>100</v>
      </c>
      <c r="Q11" s="38" t="s">
        <v>3</v>
      </c>
      <c r="R11" s="29" t="s">
        <v>70</v>
      </c>
      <c r="S11" s="29" t="s">
        <v>80</v>
      </c>
      <c r="T11" s="29"/>
    </row>
    <row r="12" customFormat="false" ht="15" hidden="false" customHeight="true" outlineLevel="0" collapsed="false">
      <c r="A12" s="25" t="s">
        <v>118</v>
      </c>
      <c r="B12" s="25" t="s">
        <v>119</v>
      </c>
      <c r="C12" s="25" t="s">
        <v>36</v>
      </c>
      <c r="D12" s="25"/>
      <c r="E12" s="25" t="s">
        <v>103</v>
      </c>
      <c r="F12" s="25" t="s">
        <v>120</v>
      </c>
      <c r="G12" s="25" t="s">
        <v>121</v>
      </c>
      <c r="H12" s="36" t="n">
        <v>45521</v>
      </c>
      <c r="I12" s="37" t="n">
        <v>996.41</v>
      </c>
      <c r="J12" s="25" t="s">
        <v>77</v>
      </c>
      <c r="K12" s="36" t="n">
        <v>45521</v>
      </c>
      <c r="L12" s="36" t="n">
        <v>46616</v>
      </c>
      <c r="M12" s="25" t="str">
        <f aca="true">IF(L12="","N/A",IF(L12&lt;TODAY(),"Expired",IF(L12&lt;TODAY()+90,"Expiring Soon","Active")))</f>
        <v>Active</v>
      </c>
      <c r="N12" s="25" t="s">
        <v>21</v>
      </c>
      <c r="O12" s="25" t="s">
        <v>122</v>
      </c>
      <c r="P12" s="25" t="s">
        <v>123</v>
      </c>
      <c r="Q12" s="38" t="s">
        <v>3</v>
      </c>
      <c r="R12" s="25" t="s">
        <v>79</v>
      </c>
      <c r="S12" s="25"/>
      <c r="T12" s="25"/>
    </row>
    <row r="13" customFormat="false" ht="15" hidden="false" customHeight="true" outlineLevel="0" collapsed="false">
      <c r="A13" s="29" t="s">
        <v>124</v>
      </c>
      <c r="B13" s="29" t="s">
        <v>125</v>
      </c>
      <c r="C13" s="29" t="s">
        <v>37</v>
      </c>
      <c r="D13" s="29"/>
      <c r="E13" s="29" t="s">
        <v>64</v>
      </c>
      <c r="F13" s="29" t="s">
        <v>126</v>
      </c>
      <c r="G13" s="29" t="s">
        <v>127</v>
      </c>
      <c r="H13" s="39" t="n">
        <v>45527</v>
      </c>
      <c r="I13" s="40" t="n">
        <v>1547.23</v>
      </c>
      <c r="J13" s="29" t="s">
        <v>64</v>
      </c>
      <c r="K13" s="39" t="n">
        <v>45527</v>
      </c>
      <c r="L13" s="39" t="n">
        <v>46622</v>
      </c>
      <c r="M13" s="29" t="str">
        <f aca="true">IF(L13="","N/A",IF(L13&lt;TODAY(),"Expired",IF(L13&lt;TODAY()+90,"Expiring Soon","Active")))</f>
        <v>Active</v>
      </c>
      <c r="N13" s="29" t="s">
        <v>23</v>
      </c>
      <c r="O13" s="29" t="s">
        <v>94</v>
      </c>
      <c r="P13" s="29" t="s">
        <v>113</v>
      </c>
      <c r="Q13" s="38" t="s">
        <v>3</v>
      </c>
      <c r="R13" s="29" t="s">
        <v>79</v>
      </c>
      <c r="S13" s="29"/>
      <c r="T13" s="29"/>
    </row>
    <row r="14" customFormat="false" ht="15" hidden="false" customHeight="true" outlineLevel="0" collapsed="false">
      <c r="A14" s="25" t="s">
        <v>128</v>
      </c>
      <c r="B14" s="25" t="s">
        <v>129</v>
      </c>
      <c r="C14" s="25" t="s">
        <v>20</v>
      </c>
      <c r="D14" s="25"/>
      <c r="E14" s="25" t="s">
        <v>77</v>
      </c>
      <c r="F14" s="25" t="s">
        <v>130</v>
      </c>
      <c r="G14" s="25" t="s">
        <v>131</v>
      </c>
      <c r="H14" s="36" t="n">
        <v>45620</v>
      </c>
      <c r="I14" s="37" t="n">
        <v>7979.94</v>
      </c>
      <c r="J14" s="25" t="s">
        <v>67</v>
      </c>
      <c r="K14" s="36" t="n">
        <v>45620</v>
      </c>
      <c r="L14" s="36" t="n">
        <v>46715</v>
      </c>
      <c r="M14" s="25" t="str">
        <f aca="true">IF(L14="","N/A",IF(L14&lt;TODAY(),"Expired",IF(L14&lt;TODAY()+90,"Expiring Soon","Active")))</f>
        <v>Active</v>
      </c>
      <c r="N14" s="25" t="s">
        <v>25</v>
      </c>
      <c r="O14" s="25" t="s">
        <v>85</v>
      </c>
      <c r="P14" s="25"/>
      <c r="Q14" s="41" t="s">
        <v>4</v>
      </c>
      <c r="R14" s="25" t="s">
        <v>70</v>
      </c>
      <c r="S14" s="25" t="s">
        <v>80</v>
      </c>
      <c r="T14" s="25"/>
    </row>
    <row r="15" customFormat="false" ht="15" hidden="false" customHeight="true" outlineLevel="0" collapsed="false">
      <c r="A15" s="29" t="s">
        <v>132</v>
      </c>
      <c r="B15" s="29" t="s">
        <v>133</v>
      </c>
      <c r="C15" s="29" t="s">
        <v>22</v>
      </c>
      <c r="D15" s="29"/>
      <c r="E15" s="29" t="s">
        <v>64</v>
      </c>
      <c r="F15" s="29" t="s">
        <v>116</v>
      </c>
      <c r="G15" s="29" t="s">
        <v>134</v>
      </c>
      <c r="H15" s="39" t="n">
        <v>45939</v>
      </c>
      <c r="I15" s="40" t="n">
        <v>3385.75</v>
      </c>
      <c r="J15" s="29" t="s">
        <v>77</v>
      </c>
      <c r="K15" s="39" t="n">
        <v>45939</v>
      </c>
      <c r="L15" s="39" t="n">
        <v>46669</v>
      </c>
      <c r="M15" s="29" t="str">
        <f aca="true">IF(L15="","N/A",IF(L15&lt;TODAY(),"Expired",IF(L15&lt;TODAY()+90,"Expiring Soon","Active")))</f>
        <v>Active</v>
      </c>
      <c r="N15" s="29" t="s">
        <v>27</v>
      </c>
      <c r="O15" s="29" t="s">
        <v>94</v>
      </c>
      <c r="P15" s="29" t="s">
        <v>69</v>
      </c>
      <c r="Q15" s="38" t="s">
        <v>3</v>
      </c>
      <c r="R15" s="29" t="s">
        <v>70</v>
      </c>
      <c r="S15" s="29"/>
      <c r="T15" s="29"/>
    </row>
    <row r="16" customFormat="false" ht="15" hidden="false" customHeight="true" outlineLevel="0" collapsed="false">
      <c r="A16" s="25" t="s">
        <v>135</v>
      </c>
      <c r="B16" s="25" t="s">
        <v>136</v>
      </c>
      <c r="C16" s="25" t="s">
        <v>24</v>
      </c>
      <c r="D16" s="25"/>
      <c r="E16" s="25" t="s">
        <v>64</v>
      </c>
      <c r="F16" s="25" t="s">
        <v>65</v>
      </c>
      <c r="G16" s="25" t="s">
        <v>137</v>
      </c>
      <c r="H16" s="36" t="n">
        <v>45523</v>
      </c>
      <c r="I16" s="37" t="n">
        <v>6264.49</v>
      </c>
      <c r="J16" s="25" t="s">
        <v>90</v>
      </c>
      <c r="K16" s="36" t="n">
        <v>45523</v>
      </c>
      <c r="L16" s="36" t="n">
        <v>45888</v>
      </c>
      <c r="M16" s="25" t="str">
        <f aca="true">IF(L16="","N/A",IF(L16&lt;TODAY(),"Expired",IF(L16&lt;TODAY()+90,"Expiring Soon","Active")))</f>
        <v>Expired</v>
      </c>
      <c r="N16" s="25" t="s">
        <v>29</v>
      </c>
      <c r="O16" s="25" t="s">
        <v>122</v>
      </c>
      <c r="P16" s="25" t="s">
        <v>123</v>
      </c>
      <c r="Q16" s="38" t="s">
        <v>3</v>
      </c>
      <c r="R16" s="25" t="s">
        <v>70</v>
      </c>
      <c r="S16" s="25"/>
      <c r="T16" s="25"/>
    </row>
    <row r="17" customFormat="false" ht="15" hidden="false" customHeight="true" outlineLevel="0" collapsed="false">
      <c r="A17" s="29" t="s">
        <v>138</v>
      </c>
      <c r="B17" s="29" t="s">
        <v>139</v>
      </c>
      <c r="C17" s="29" t="s">
        <v>26</v>
      </c>
      <c r="D17" s="29"/>
      <c r="E17" s="29" t="s">
        <v>64</v>
      </c>
      <c r="F17" s="29" t="s">
        <v>140</v>
      </c>
      <c r="G17" s="29" t="s">
        <v>141</v>
      </c>
      <c r="H17" s="39" t="n">
        <v>45044</v>
      </c>
      <c r="I17" s="40" t="n">
        <v>6214.72</v>
      </c>
      <c r="J17" s="29" t="s">
        <v>77</v>
      </c>
      <c r="K17" s="39" t="n">
        <v>45044</v>
      </c>
      <c r="L17" s="39" t="n">
        <v>45409</v>
      </c>
      <c r="M17" s="29" t="str">
        <f aca="true">IF(L17="","N/A",IF(L17&lt;TODAY(),"Expired",IF(L17&lt;TODAY()+90,"Expiring Soon","Active")))</f>
        <v>Expired</v>
      </c>
      <c r="N17" s="29" t="s">
        <v>31</v>
      </c>
      <c r="O17" s="29" t="s">
        <v>107</v>
      </c>
      <c r="P17" s="29" t="s">
        <v>142</v>
      </c>
      <c r="Q17" s="38" t="s">
        <v>3</v>
      </c>
      <c r="R17" s="29" t="s">
        <v>87</v>
      </c>
      <c r="S17" s="29"/>
      <c r="T17" s="29"/>
    </row>
    <row r="18" customFormat="false" ht="15" hidden="false" customHeight="true" outlineLevel="0" collapsed="false">
      <c r="A18" s="25" t="s">
        <v>143</v>
      </c>
      <c r="B18" s="25" t="s">
        <v>144</v>
      </c>
      <c r="C18" s="25" t="s">
        <v>28</v>
      </c>
      <c r="D18" s="25"/>
      <c r="E18" s="25" t="s">
        <v>145</v>
      </c>
      <c r="F18" s="25" t="s">
        <v>146</v>
      </c>
      <c r="G18" s="25" t="s">
        <v>147</v>
      </c>
      <c r="H18" s="36" t="n">
        <v>44965</v>
      </c>
      <c r="I18" s="37" t="n">
        <v>7651.25</v>
      </c>
      <c r="J18" s="25" t="s">
        <v>77</v>
      </c>
      <c r="K18" s="36" t="n">
        <v>44965</v>
      </c>
      <c r="L18" s="36" t="n">
        <v>45330</v>
      </c>
      <c r="M18" s="25" t="str">
        <f aca="true">IF(L18="","N/A",IF(L18&lt;TODAY(),"Expired",IF(L18&lt;TODAY()+90,"Expiring Soon","Active")))</f>
        <v>Expired</v>
      </c>
      <c r="N18" s="25" t="s">
        <v>33</v>
      </c>
      <c r="O18" s="25" t="s">
        <v>94</v>
      </c>
      <c r="P18" s="25" t="s">
        <v>95</v>
      </c>
      <c r="Q18" s="38" t="s">
        <v>3</v>
      </c>
      <c r="R18" s="25" t="s">
        <v>70</v>
      </c>
      <c r="S18" s="25" t="s">
        <v>148</v>
      </c>
      <c r="T18" s="25"/>
    </row>
    <row r="19" customFormat="false" ht="15" hidden="false" customHeight="true" outlineLevel="0" collapsed="false">
      <c r="A19" s="29" t="s">
        <v>149</v>
      </c>
      <c r="B19" s="29" t="s">
        <v>150</v>
      </c>
      <c r="C19" s="29" t="s">
        <v>30</v>
      </c>
      <c r="D19" s="29"/>
      <c r="E19" s="29" t="s">
        <v>90</v>
      </c>
      <c r="F19" s="29" t="s">
        <v>151</v>
      </c>
      <c r="G19" s="29" t="s">
        <v>152</v>
      </c>
      <c r="H19" s="39" t="n">
        <v>45576</v>
      </c>
      <c r="I19" s="40" t="n">
        <v>7085.07</v>
      </c>
      <c r="J19" s="29" t="s">
        <v>106</v>
      </c>
      <c r="K19" s="39" t="n">
        <v>45576</v>
      </c>
      <c r="L19" s="39" t="n">
        <v>45941</v>
      </c>
      <c r="M19" s="29" t="str">
        <f aca="true">IF(L19="","N/A",IF(L19&lt;TODAY(),"Expired",IF(L19&lt;TODAY()+90,"Expiring Soon","Active")))</f>
        <v>Expired</v>
      </c>
      <c r="N19" s="29" t="s">
        <v>35</v>
      </c>
      <c r="O19" s="29" t="s">
        <v>112</v>
      </c>
      <c r="P19" s="29" t="s">
        <v>153</v>
      </c>
      <c r="Q19" s="38" t="s">
        <v>3</v>
      </c>
      <c r="R19" s="29" t="s">
        <v>87</v>
      </c>
      <c r="S19" s="29" t="s">
        <v>80</v>
      </c>
      <c r="T19" s="29"/>
    </row>
    <row r="20" customFormat="false" ht="15" hidden="false" customHeight="true" outlineLevel="0" collapsed="false">
      <c r="A20" s="25" t="s">
        <v>154</v>
      </c>
      <c r="B20" s="25" t="s">
        <v>155</v>
      </c>
      <c r="C20" s="25" t="s">
        <v>32</v>
      </c>
      <c r="D20" s="25"/>
      <c r="E20" s="25" t="s">
        <v>64</v>
      </c>
      <c r="F20" s="25" t="s">
        <v>156</v>
      </c>
      <c r="G20" s="25" t="s">
        <v>157</v>
      </c>
      <c r="H20" s="36" t="n">
        <v>45731</v>
      </c>
      <c r="I20" s="37" t="n">
        <v>2487.92</v>
      </c>
      <c r="J20" s="25" t="s">
        <v>93</v>
      </c>
      <c r="K20" s="36" t="n">
        <v>45731</v>
      </c>
      <c r="L20" s="36" t="n">
        <v>46826</v>
      </c>
      <c r="M20" s="25" t="str">
        <f aca="true">IF(L20="","N/A",IF(L20&lt;TODAY(),"Expired",IF(L20&lt;TODAY()+90,"Expiring Soon","Active")))</f>
        <v>Active</v>
      </c>
      <c r="N20" s="25" t="s">
        <v>21</v>
      </c>
      <c r="O20" s="25" t="s">
        <v>85</v>
      </c>
      <c r="P20" s="25" t="s">
        <v>69</v>
      </c>
      <c r="Q20" s="38" t="s">
        <v>3</v>
      </c>
      <c r="R20" s="25" t="s">
        <v>87</v>
      </c>
      <c r="S20" s="25"/>
      <c r="T20" s="25"/>
    </row>
    <row r="21" customFormat="false" ht="15" hidden="false" customHeight="true" outlineLevel="0" collapsed="false">
      <c r="A21" s="29" t="s">
        <v>158</v>
      </c>
      <c r="B21" s="29" t="s">
        <v>159</v>
      </c>
      <c r="C21" s="29" t="s">
        <v>34</v>
      </c>
      <c r="D21" s="29"/>
      <c r="E21" s="29" t="s">
        <v>90</v>
      </c>
      <c r="F21" s="29" t="s">
        <v>160</v>
      </c>
      <c r="G21" s="29" t="s">
        <v>161</v>
      </c>
      <c r="H21" s="39" t="n">
        <v>45305</v>
      </c>
      <c r="I21" s="40" t="n">
        <v>3785.75</v>
      </c>
      <c r="J21" s="29" t="s">
        <v>77</v>
      </c>
      <c r="K21" s="39" t="n">
        <v>45305</v>
      </c>
      <c r="L21" s="39" t="n">
        <v>46035</v>
      </c>
      <c r="M21" s="29" t="str">
        <f aca="true">IF(L21="","N/A",IF(L21&lt;TODAY(),"Expired",IF(L21&lt;TODAY()+90,"Expiring Soon","Active")))</f>
        <v>Expired</v>
      </c>
      <c r="N21" s="29" t="s">
        <v>23</v>
      </c>
      <c r="O21" s="29" t="s">
        <v>68</v>
      </c>
      <c r="P21" s="29" t="s">
        <v>153</v>
      </c>
      <c r="Q21" s="38" t="s">
        <v>3</v>
      </c>
      <c r="R21" s="29" t="s">
        <v>162</v>
      </c>
      <c r="S21" s="29" t="s">
        <v>163</v>
      </c>
      <c r="T21" s="29"/>
    </row>
    <row r="22" customFormat="false" ht="15" hidden="false" customHeight="true" outlineLevel="0" collapsed="false">
      <c r="A22" s="25" t="s">
        <v>164</v>
      </c>
      <c r="B22" s="25" t="s">
        <v>165</v>
      </c>
      <c r="C22" s="25" t="s">
        <v>36</v>
      </c>
      <c r="D22" s="25"/>
      <c r="E22" s="25" t="s">
        <v>77</v>
      </c>
      <c r="F22" s="25" t="s">
        <v>166</v>
      </c>
      <c r="G22" s="25" t="s">
        <v>167</v>
      </c>
      <c r="H22" s="36" t="n">
        <v>45618</v>
      </c>
      <c r="I22" s="37" t="n">
        <v>553.93</v>
      </c>
      <c r="J22" s="25" t="s">
        <v>64</v>
      </c>
      <c r="K22" s="36" t="n">
        <v>45618</v>
      </c>
      <c r="L22" s="36" t="n">
        <v>46713</v>
      </c>
      <c r="M22" s="25" t="str">
        <f aca="true">IF(L22="","N/A",IF(L22&lt;TODAY(),"Expired",IF(L22&lt;TODAY()+90,"Expiring Soon","Active")))</f>
        <v>Active</v>
      </c>
      <c r="N22" s="25" t="s">
        <v>25</v>
      </c>
      <c r="O22" s="25" t="s">
        <v>68</v>
      </c>
      <c r="P22" s="25" t="s">
        <v>95</v>
      </c>
      <c r="Q22" s="38" t="s">
        <v>3</v>
      </c>
      <c r="R22" s="25" t="s">
        <v>162</v>
      </c>
      <c r="S22" s="25"/>
      <c r="T22" s="25"/>
    </row>
    <row r="23" customFormat="false" ht="15" hidden="false" customHeight="true" outlineLevel="0" collapsed="false">
      <c r="A23" s="29" t="s">
        <v>168</v>
      </c>
      <c r="B23" s="29" t="s">
        <v>169</v>
      </c>
      <c r="C23" s="29" t="s">
        <v>37</v>
      </c>
      <c r="D23" s="29"/>
      <c r="E23" s="29" t="s">
        <v>103</v>
      </c>
      <c r="F23" s="29" t="s">
        <v>170</v>
      </c>
      <c r="G23" s="29" t="s">
        <v>171</v>
      </c>
      <c r="H23" s="39" t="n">
        <v>45499</v>
      </c>
      <c r="I23" s="40" t="n">
        <v>5517.33</v>
      </c>
      <c r="J23" s="29" t="s">
        <v>67</v>
      </c>
      <c r="K23" s="39" t="n">
        <v>45499</v>
      </c>
      <c r="L23" s="39" t="n">
        <v>46594</v>
      </c>
      <c r="M23" s="29" t="str">
        <f aca="true">IF(L23="","N/A",IF(L23&lt;TODAY(),"Expired",IF(L23&lt;TODAY()+90,"Expiring Soon","Active")))</f>
        <v>Active</v>
      </c>
      <c r="N23" s="29" t="s">
        <v>27</v>
      </c>
      <c r="O23" s="29" t="s">
        <v>172</v>
      </c>
      <c r="P23" s="29" t="s">
        <v>113</v>
      </c>
      <c r="Q23" s="38" t="s">
        <v>3</v>
      </c>
      <c r="R23" s="29" t="s">
        <v>79</v>
      </c>
      <c r="S23" s="29"/>
      <c r="T23" s="29"/>
    </row>
    <row r="24" customFormat="false" ht="15" hidden="false" customHeight="true" outlineLevel="0" collapsed="false">
      <c r="A24" s="25" t="s">
        <v>173</v>
      </c>
      <c r="B24" s="25" t="s">
        <v>174</v>
      </c>
      <c r="C24" s="25" t="s">
        <v>20</v>
      </c>
      <c r="D24" s="25"/>
      <c r="E24" s="25" t="s">
        <v>145</v>
      </c>
      <c r="F24" s="25" t="s">
        <v>175</v>
      </c>
      <c r="G24" s="25" t="s">
        <v>176</v>
      </c>
      <c r="H24" s="36" t="n">
        <v>45680</v>
      </c>
      <c r="I24" s="37" t="n">
        <v>1207.44</v>
      </c>
      <c r="J24" s="25" t="s">
        <v>64</v>
      </c>
      <c r="K24" s="36" t="n">
        <v>45680</v>
      </c>
      <c r="L24" s="36" t="n">
        <v>46410</v>
      </c>
      <c r="M24" s="25" t="str">
        <f aca="true">IF(L24="","N/A",IF(L24&lt;TODAY(),"Expired",IF(L24&lt;TODAY()+90,"Expiring Soon","Active")))</f>
        <v>Active</v>
      </c>
      <c r="N24" s="25" t="s">
        <v>29</v>
      </c>
      <c r="O24" s="25" t="s">
        <v>122</v>
      </c>
      <c r="P24" s="25" t="s">
        <v>123</v>
      </c>
      <c r="Q24" s="38" t="s">
        <v>3</v>
      </c>
      <c r="R24" s="25" t="s">
        <v>70</v>
      </c>
      <c r="S24" s="25"/>
      <c r="T24" s="25"/>
    </row>
    <row r="25" customFormat="false" ht="15" hidden="false" customHeight="true" outlineLevel="0" collapsed="false">
      <c r="A25" s="29" t="s">
        <v>177</v>
      </c>
      <c r="B25" s="29" t="s">
        <v>133</v>
      </c>
      <c r="C25" s="29" t="s">
        <v>22</v>
      </c>
      <c r="D25" s="29"/>
      <c r="E25" s="29" t="s">
        <v>64</v>
      </c>
      <c r="F25" s="29" t="s">
        <v>140</v>
      </c>
      <c r="G25" s="29" t="s">
        <v>178</v>
      </c>
      <c r="H25" s="39" t="n">
        <v>45945</v>
      </c>
      <c r="I25" s="40" t="n">
        <v>3519.66</v>
      </c>
      <c r="J25" s="29" t="s">
        <v>90</v>
      </c>
      <c r="K25" s="39" t="n">
        <v>45945</v>
      </c>
      <c r="L25" s="39" t="n">
        <v>46310</v>
      </c>
      <c r="M25" s="29" t="str">
        <f aca="true">IF(L25="","N/A",IF(L25&lt;TODAY(),"Expired",IF(L25&lt;TODAY()+90,"Expiring Soon","Active")))</f>
        <v>Active</v>
      </c>
      <c r="N25" s="29" t="s">
        <v>31</v>
      </c>
      <c r="O25" s="29" t="s">
        <v>172</v>
      </c>
      <c r="P25" s="29"/>
      <c r="Q25" s="42" t="s">
        <v>5</v>
      </c>
      <c r="R25" s="29" t="s">
        <v>79</v>
      </c>
      <c r="S25" s="29" t="s">
        <v>80</v>
      </c>
      <c r="T25" s="29"/>
    </row>
    <row r="26" customFormat="false" ht="15" hidden="false" customHeight="true" outlineLevel="0" collapsed="false">
      <c r="A26" s="25" t="s">
        <v>179</v>
      </c>
      <c r="B26" s="25" t="s">
        <v>82</v>
      </c>
      <c r="C26" s="25" t="s">
        <v>24</v>
      </c>
      <c r="D26" s="25"/>
      <c r="E26" s="25" t="s">
        <v>74</v>
      </c>
      <c r="F26" s="25" t="s">
        <v>180</v>
      </c>
      <c r="G26" s="25" t="s">
        <v>181</v>
      </c>
      <c r="H26" s="36" t="n">
        <v>45122</v>
      </c>
      <c r="I26" s="37" t="n">
        <v>2373.55</v>
      </c>
      <c r="J26" s="25" t="s">
        <v>106</v>
      </c>
      <c r="K26" s="36" t="n">
        <v>45122</v>
      </c>
      <c r="L26" s="36" t="n">
        <v>45852</v>
      </c>
      <c r="M26" s="25" t="str">
        <f aca="true">IF(L26="","N/A",IF(L26&lt;TODAY(),"Expired",IF(L26&lt;TODAY()+90,"Expiring Soon","Active")))</f>
        <v>Expired</v>
      </c>
      <c r="N26" s="25" t="s">
        <v>33</v>
      </c>
      <c r="O26" s="25" t="s">
        <v>107</v>
      </c>
      <c r="P26" s="25" t="s">
        <v>69</v>
      </c>
      <c r="Q26" s="38" t="s">
        <v>3</v>
      </c>
      <c r="R26" s="25" t="s">
        <v>70</v>
      </c>
      <c r="S26" s="25"/>
      <c r="T26" s="25"/>
    </row>
    <row r="27" customFormat="false" ht="15" hidden="false" customHeight="true" outlineLevel="0" collapsed="false">
      <c r="A27" s="29" t="s">
        <v>182</v>
      </c>
      <c r="B27" s="29" t="s">
        <v>183</v>
      </c>
      <c r="C27" s="29" t="s">
        <v>26</v>
      </c>
      <c r="D27" s="29"/>
      <c r="E27" s="29" t="s">
        <v>103</v>
      </c>
      <c r="F27" s="29" t="s">
        <v>184</v>
      </c>
      <c r="G27" s="29" t="s">
        <v>185</v>
      </c>
      <c r="H27" s="39" t="n">
        <v>46039</v>
      </c>
      <c r="I27" s="40" t="n">
        <v>7767.47</v>
      </c>
      <c r="J27" s="29" t="s">
        <v>93</v>
      </c>
      <c r="K27" s="39" t="n">
        <v>46039</v>
      </c>
      <c r="L27" s="39" t="n">
        <v>46404</v>
      </c>
      <c r="M27" s="29" t="str">
        <f aca="true">IF(L27="","N/A",IF(L27&lt;TODAY(),"Expired",IF(L27&lt;TODAY()+90,"Expiring Soon","Active")))</f>
        <v>Active</v>
      </c>
      <c r="N27" s="29" t="s">
        <v>35</v>
      </c>
      <c r="O27" s="29" t="s">
        <v>172</v>
      </c>
      <c r="P27" s="29" t="s">
        <v>123</v>
      </c>
      <c r="Q27" s="38" t="s">
        <v>3</v>
      </c>
      <c r="R27" s="29" t="s">
        <v>87</v>
      </c>
      <c r="S27" s="29"/>
      <c r="T27" s="29"/>
    </row>
    <row r="28" customFormat="false" ht="15" hidden="false" customHeight="true" outlineLevel="0" collapsed="false">
      <c r="A28" s="25" t="s">
        <v>186</v>
      </c>
      <c r="B28" s="25" t="s">
        <v>187</v>
      </c>
      <c r="C28" s="25" t="s">
        <v>28</v>
      </c>
      <c r="D28" s="25"/>
      <c r="E28" s="25" t="s">
        <v>74</v>
      </c>
      <c r="F28" s="25" t="s">
        <v>188</v>
      </c>
      <c r="G28" s="25" t="s">
        <v>189</v>
      </c>
      <c r="H28" s="36" t="n">
        <v>45293</v>
      </c>
      <c r="I28" s="37" t="n">
        <v>516.17</v>
      </c>
      <c r="J28" s="25" t="s">
        <v>74</v>
      </c>
      <c r="K28" s="36" t="n">
        <v>45293</v>
      </c>
      <c r="L28" s="36" t="n">
        <v>46023</v>
      </c>
      <c r="M28" s="25" t="str">
        <f aca="true">IF(L28="","N/A",IF(L28&lt;TODAY(),"Expired",IF(L28&lt;TODAY()+90,"Expiring Soon","Active")))</f>
        <v>Expired</v>
      </c>
      <c r="N28" s="25" t="s">
        <v>21</v>
      </c>
      <c r="O28" s="25" t="s">
        <v>107</v>
      </c>
      <c r="P28" s="25" t="s">
        <v>190</v>
      </c>
      <c r="Q28" s="38" t="s">
        <v>3</v>
      </c>
      <c r="R28" s="25" t="s">
        <v>79</v>
      </c>
      <c r="S28" s="25"/>
      <c r="T28" s="25"/>
    </row>
    <row r="29" customFormat="false" ht="15" hidden="false" customHeight="true" outlineLevel="0" collapsed="false">
      <c r="A29" s="29" t="s">
        <v>191</v>
      </c>
      <c r="B29" s="29" t="s">
        <v>192</v>
      </c>
      <c r="C29" s="29" t="s">
        <v>30</v>
      </c>
      <c r="D29" s="29"/>
      <c r="E29" s="29" t="s">
        <v>64</v>
      </c>
      <c r="F29" s="29" t="s">
        <v>193</v>
      </c>
      <c r="G29" s="29" t="s">
        <v>194</v>
      </c>
      <c r="H29" s="39" t="n">
        <v>45073</v>
      </c>
      <c r="I29" s="40" t="n">
        <v>1660.98</v>
      </c>
      <c r="J29" s="29" t="s">
        <v>90</v>
      </c>
      <c r="K29" s="39" t="n">
        <v>45073</v>
      </c>
      <c r="L29" s="39" t="n">
        <v>45438</v>
      </c>
      <c r="M29" s="29" t="str">
        <f aca="true">IF(L29="","N/A",IF(L29&lt;TODAY(),"Expired",IF(L29&lt;TODAY()+90,"Expiring Soon","Active")))</f>
        <v>Expired</v>
      </c>
      <c r="N29" s="29" t="s">
        <v>23</v>
      </c>
      <c r="O29" s="29" t="s">
        <v>68</v>
      </c>
      <c r="P29" s="29" t="s">
        <v>69</v>
      </c>
      <c r="Q29" s="38" t="s">
        <v>3</v>
      </c>
      <c r="R29" s="29" t="s">
        <v>70</v>
      </c>
      <c r="S29" s="29"/>
      <c r="T29" s="29"/>
    </row>
    <row r="30" customFormat="false" ht="15" hidden="false" customHeight="true" outlineLevel="0" collapsed="false">
      <c r="A30" s="25" t="s">
        <v>195</v>
      </c>
      <c r="B30" s="25" t="s">
        <v>109</v>
      </c>
      <c r="C30" s="25" t="s">
        <v>32</v>
      </c>
      <c r="D30" s="25"/>
      <c r="E30" s="25" t="s">
        <v>90</v>
      </c>
      <c r="F30" s="25" t="s">
        <v>196</v>
      </c>
      <c r="G30" s="25" t="s">
        <v>197</v>
      </c>
      <c r="H30" s="36" t="n">
        <v>45093</v>
      </c>
      <c r="I30" s="37" t="n">
        <v>4271.38</v>
      </c>
      <c r="J30" s="25" t="s">
        <v>93</v>
      </c>
      <c r="K30" s="36" t="n">
        <v>45093</v>
      </c>
      <c r="L30" s="36" t="n">
        <v>46188</v>
      </c>
      <c r="M30" s="25" t="str">
        <f aca="true">IF(L30="","N/A",IF(L30&lt;TODAY(),"Expired",IF(L30&lt;TODAY()+90,"Expiring Soon","Active")))</f>
        <v>Expiring Soon</v>
      </c>
      <c r="N30" s="25" t="s">
        <v>25</v>
      </c>
      <c r="O30" s="25" t="s">
        <v>172</v>
      </c>
      <c r="P30" s="25"/>
      <c r="Q30" s="42" t="s">
        <v>5</v>
      </c>
      <c r="R30" s="25" t="s">
        <v>70</v>
      </c>
      <c r="S30" s="25" t="s">
        <v>80</v>
      </c>
      <c r="T30" s="25"/>
    </row>
    <row r="31" customFormat="false" ht="15" hidden="false" customHeight="true" outlineLevel="0" collapsed="false">
      <c r="A31" s="29" t="s">
        <v>198</v>
      </c>
      <c r="B31" s="29" t="s">
        <v>199</v>
      </c>
      <c r="C31" s="29" t="s">
        <v>34</v>
      </c>
      <c r="D31" s="29"/>
      <c r="E31" s="29" t="s">
        <v>103</v>
      </c>
      <c r="F31" s="29" t="s">
        <v>170</v>
      </c>
      <c r="G31" s="29" t="s">
        <v>200</v>
      </c>
      <c r="H31" s="39" t="n">
        <v>45588</v>
      </c>
      <c r="I31" s="40" t="n">
        <v>3528.32</v>
      </c>
      <c r="J31" s="29" t="s">
        <v>77</v>
      </c>
      <c r="K31" s="39" t="n">
        <v>45588</v>
      </c>
      <c r="L31" s="39" t="n">
        <v>45953</v>
      </c>
      <c r="M31" s="29" t="str">
        <f aca="true">IF(L31="","N/A",IF(L31&lt;TODAY(),"Expired",IF(L31&lt;TODAY()+90,"Expiring Soon","Active")))</f>
        <v>Expired</v>
      </c>
      <c r="N31" s="29" t="s">
        <v>27</v>
      </c>
      <c r="O31" s="29" t="s">
        <v>94</v>
      </c>
      <c r="P31" s="29" t="s">
        <v>113</v>
      </c>
      <c r="Q31" s="38" t="s">
        <v>3</v>
      </c>
      <c r="R31" s="29" t="s">
        <v>70</v>
      </c>
      <c r="S31" s="29" t="s">
        <v>201</v>
      </c>
      <c r="T31" s="29"/>
    </row>
    <row r="32" customFormat="false" ht="15" hidden="false" customHeight="true" outlineLevel="0" collapsed="false">
      <c r="A32" s="25" t="s">
        <v>202</v>
      </c>
      <c r="B32" s="25" t="s">
        <v>203</v>
      </c>
      <c r="C32" s="25" t="s">
        <v>36</v>
      </c>
      <c r="D32" s="25"/>
      <c r="E32" s="25" t="s">
        <v>64</v>
      </c>
      <c r="F32" s="25" t="s">
        <v>204</v>
      </c>
      <c r="G32" s="25" t="s">
        <v>205</v>
      </c>
      <c r="H32" s="36" t="n">
        <v>44999</v>
      </c>
      <c r="I32" s="37" t="n">
        <v>2872.77</v>
      </c>
      <c r="J32" s="25" t="s">
        <v>90</v>
      </c>
      <c r="K32" s="36" t="n">
        <v>44999</v>
      </c>
      <c r="L32" s="36" t="n">
        <v>45364</v>
      </c>
      <c r="M32" s="25" t="str">
        <f aca="true">IF(L32="","N/A",IF(L32&lt;TODAY(),"Expired",IF(L32&lt;TODAY()+90,"Expiring Soon","Active")))</f>
        <v>Expired</v>
      </c>
      <c r="N32" s="25" t="s">
        <v>29</v>
      </c>
      <c r="O32" s="25" t="s">
        <v>112</v>
      </c>
      <c r="P32" s="25" t="s">
        <v>206</v>
      </c>
      <c r="Q32" s="38" t="s">
        <v>3</v>
      </c>
      <c r="R32" s="25" t="s">
        <v>162</v>
      </c>
      <c r="S32" s="25"/>
      <c r="T32" s="25"/>
    </row>
    <row r="33" customFormat="false" ht="15" hidden="false" customHeight="true" outlineLevel="0" collapsed="false">
      <c r="A33" s="29" t="s">
        <v>207</v>
      </c>
      <c r="B33" s="29" t="s">
        <v>208</v>
      </c>
      <c r="C33" s="29" t="s">
        <v>37</v>
      </c>
      <c r="D33" s="29"/>
      <c r="E33" s="29" t="s">
        <v>74</v>
      </c>
      <c r="F33" s="29" t="s">
        <v>209</v>
      </c>
      <c r="G33" s="29" t="s">
        <v>210</v>
      </c>
      <c r="H33" s="39" t="n">
        <v>45455</v>
      </c>
      <c r="I33" s="40" t="n">
        <v>3929.18</v>
      </c>
      <c r="J33" s="29" t="s">
        <v>93</v>
      </c>
      <c r="K33" s="39" t="n">
        <v>45455</v>
      </c>
      <c r="L33" s="39" t="n">
        <v>45820</v>
      </c>
      <c r="M33" s="29" t="str">
        <f aca="true">IF(L33="","N/A",IF(L33&lt;TODAY(),"Expired",IF(L33&lt;TODAY()+90,"Expiring Soon","Active")))</f>
        <v>Expired</v>
      </c>
      <c r="N33" s="29" t="s">
        <v>31</v>
      </c>
      <c r="O33" s="29" t="s">
        <v>68</v>
      </c>
      <c r="P33" s="29" t="s">
        <v>113</v>
      </c>
      <c r="Q33" s="38" t="s">
        <v>3</v>
      </c>
      <c r="R33" s="29" t="s">
        <v>70</v>
      </c>
      <c r="S33" s="29"/>
      <c r="T33" s="29"/>
    </row>
    <row r="34" customFormat="false" ht="15" hidden="false" customHeight="true" outlineLevel="0" collapsed="false">
      <c r="A34" s="25" t="s">
        <v>211</v>
      </c>
      <c r="B34" s="25" t="s">
        <v>212</v>
      </c>
      <c r="C34" s="25" t="s">
        <v>20</v>
      </c>
      <c r="D34" s="25"/>
      <c r="E34" s="25" t="s">
        <v>103</v>
      </c>
      <c r="F34" s="25" t="s">
        <v>213</v>
      </c>
      <c r="G34" s="25" t="s">
        <v>214</v>
      </c>
      <c r="H34" s="36" t="n">
        <v>45033</v>
      </c>
      <c r="I34" s="37" t="n">
        <v>2489</v>
      </c>
      <c r="J34" s="25" t="s">
        <v>90</v>
      </c>
      <c r="K34" s="36" t="n">
        <v>45033</v>
      </c>
      <c r="L34" s="36" t="n">
        <v>45398</v>
      </c>
      <c r="M34" s="25" t="str">
        <f aca="true">IF(L34="","N/A",IF(L34&lt;TODAY(),"Expired",IF(L34&lt;TODAY()+90,"Expiring Soon","Active")))</f>
        <v>Expired</v>
      </c>
      <c r="N34" s="25" t="s">
        <v>33</v>
      </c>
      <c r="O34" s="25" t="s">
        <v>172</v>
      </c>
      <c r="P34" s="25" t="s">
        <v>86</v>
      </c>
      <c r="Q34" s="38" t="s">
        <v>3</v>
      </c>
      <c r="R34" s="25" t="s">
        <v>79</v>
      </c>
      <c r="S34" s="25" t="s">
        <v>71</v>
      </c>
      <c r="T34" s="25"/>
    </row>
    <row r="35" customFormat="false" ht="15" hidden="false" customHeight="true" outlineLevel="0" collapsed="false">
      <c r="A35" s="29" t="s">
        <v>215</v>
      </c>
      <c r="B35" s="29" t="s">
        <v>133</v>
      </c>
      <c r="C35" s="29" t="s">
        <v>22</v>
      </c>
      <c r="D35" s="29"/>
      <c r="E35" s="29" t="s">
        <v>64</v>
      </c>
      <c r="F35" s="29" t="s">
        <v>216</v>
      </c>
      <c r="G35" s="29" t="s">
        <v>217</v>
      </c>
      <c r="H35" s="39" t="n">
        <v>44986</v>
      </c>
      <c r="I35" s="40" t="n">
        <v>558.67</v>
      </c>
      <c r="J35" s="29" t="s">
        <v>93</v>
      </c>
      <c r="K35" s="39" t="n">
        <v>44986</v>
      </c>
      <c r="L35" s="39" t="n">
        <v>46081</v>
      </c>
      <c r="M35" s="29" t="str">
        <f aca="true">IF(L35="","N/A",IF(L35&lt;TODAY(),"Expired",IF(L35&lt;TODAY()+90,"Expiring Soon","Active")))</f>
        <v>Expired</v>
      </c>
      <c r="N35" s="29" t="s">
        <v>35</v>
      </c>
      <c r="O35" s="29" t="s">
        <v>122</v>
      </c>
      <c r="P35" s="29" t="s">
        <v>153</v>
      </c>
      <c r="Q35" s="38" t="s">
        <v>3</v>
      </c>
      <c r="R35" s="29" t="s">
        <v>87</v>
      </c>
      <c r="S35" s="29" t="s">
        <v>148</v>
      </c>
      <c r="T35" s="29"/>
    </row>
    <row r="36" customFormat="false" ht="15" hidden="false" customHeight="true" outlineLevel="0" collapsed="false">
      <c r="A36" s="25" t="s">
        <v>218</v>
      </c>
      <c r="B36" s="25" t="s">
        <v>219</v>
      </c>
      <c r="C36" s="25" t="s">
        <v>24</v>
      </c>
      <c r="D36" s="25"/>
      <c r="E36" s="25" t="s">
        <v>103</v>
      </c>
      <c r="F36" s="25" t="s">
        <v>220</v>
      </c>
      <c r="G36" s="25" t="s">
        <v>221</v>
      </c>
      <c r="H36" s="36" t="n">
        <v>45751</v>
      </c>
      <c r="I36" s="37" t="n">
        <v>2542.61</v>
      </c>
      <c r="J36" s="25" t="s">
        <v>77</v>
      </c>
      <c r="K36" s="36" t="n">
        <v>45751</v>
      </c>
      <c r="L36" s="36" t="n">
        <v>46116</v>
      </c>
      <c r="M36" s="25" t="str">
        <f aca="true">IF(L36="","N/A",IF(L36&lt;TODAY(),"Expired",IF(L36&lt;TODAY()+90,"Expiring Soon","Active")))</f>
        <v>Expiring Soon</v>
      </c>
      <c r="N36" s="25" t="s">
        <v>21</v>
      </c>
      <c r="O36" s="25" t="s">
        <v>112</v>
      </c>
      <c r="P36" s="25" t="s">
        <v>142</v>
      </c>
      <c r="Q36" s="38" t="s">
        <v>3</v>
      </c>
      <c r="R36" s="25" t="s">
        <v>162</v>
      </c>
      <c r="S36" s="25"/>
      <c r="T36" s="25"/>
    </row>
    <row r="37" customFormat="false" ht="15" hidden="false" customHeight="true" outlineLevel="0" collapsed="false">
      <c r="A37" s="29" t="s">
        <v>222</v>
      </c>
      <c r="B37" s="29" t="s">
        <v>223</v>
      </c>
      <c r="C37" s="29" t="s">
        <v>26</v>
      </c>
      <c r="D37" s="29"/>
      <c r="E37" s="29" t="s">
        <v>77</v>
      </c>
      <c r="F37" s="29" t="s">
        <v>224</v>
      </c>
      <c r="G37" s="29" t="s">
        <v>225</v>
      </c>
      <c r="H37" s="39" t="n">
        <v>45965</v>
      </c>
      <c r="I37" s="40" t="n">
        <v>1192.24</v>
      </c>
      <c r="J37" s="29" t="s">
        <v>74</v>
      </c>
      <c r="K37" s="39" t="n">
        <v>45965</v>
      </c>
      <c r="L37" s="39" t="n">
        <v>46695</v>
      </c>
      <c r="M37" s="29" t="str">
        <f aca="true">IF(L37="","N/A",IF(L37&lt;TODAY(),"Expired",IF(L37&lt;TODAY()+90,"Expiring Soon","Active")))</f>
        <v>Active</v>
      </c>
      <c r="N37" s="29" t="s">
        <v>23</v>
      </c>
      <c r="O37" s="29" t="s">
        <v>68</v>
      </c>
      <c r="P37" s="29"/>
      <c r="Q37" s="41" t="s">
        <v>4</v>
      </c>
      <c r="R37" s="29" t="s">
        <v>162</v>
      </c>
      <c r="S37" s="29"/>
      <c r="T37" s="29"/>
    </row>
    <row r="38" customFormat="false" ht="15" hidden="false" customHeight="true" outlineLevel="0" collapsed="false">
      <c r="A38" s="25" t="s">
        <v>226</v>
      </c>
      <c r="B38" s="25" t="s">
        <v>144</v>
      </c>
      <c r="C38" s="25" t="s">
        <v>28</v>
      </c>
      <c r="D38" s="25"/>
      <c r="E38" s="25" t="s">
        <v>145</v>
      </c>
      <c r="F38" s="25" t="s">
        <v>227</v>
      </c>
      <c r="G38" s="25" t="s">
        <v>228</v>
      </c>
      <c r="H38" s="36" t="n">
        <v>44940</v>
      </c>
      <c r="I38" s="37" t="n">
        <v>5792.51</v>
      </c>
      <c r="J38" s="25" t="s">
        <v>77</v>
      </c>
      <c r="K38" s="36" t="n">
        <v>44940</v>
      </c>
      <c r="L38" s="36" t="n">
        <v>45305</v>
      </c>
      <c r="M38" s="25" t="str">
        <f aca="true">IF(L38="","N/A",IF(L38&lt;TODAY(),"Expired",IF(L38&lt;TODAY()+90,"Expiring Soon","Active")))</f>
        <v>Expired</v>
      </c>
      <c r="N38" s="25" t="s">
        <v>25</v>
      </c>
      <c r="O38" s="25" t="s">
        <v>68</v>
      </c>
      <c r="P38" s="25"/>
      <c r="Q38" s="42" t="s">
        <v>5</v>
      </c>
      <c r="R38" s="25" t="s">
        <v>87</v>
      </c>
      <c r="S38" s="25" t="s">
        <v>71</v>
      </c>
      <c r="T38" s="25"/>
    </row>
    <row r="39" customFormat="false" ht="15" hidden="false" customHeight="true" outlineLevel="0" collapsed="false">
      <c r="A39" s="29" t="s">
        <v>229</v>
      </c>
      <c r="B39" s="29" t="s">
        <v>102</v>
      </c>
      <c r="C39" s="29" t="s">
        <v>30</v>
      </c>
      <c r="D39" s="29"/>
      <c r="E39" s="29" t="s">
        <v>103</v>
      </c>
      <c r="F39" s="29" t="s">
        <v>230</v>
      </c>
      <c r="G39" s="29" t="s">
        <v>231</v>
      </c>
      <c r="H39" s="39" t="n">
        <v>44938</v>
      </c>
      <c r="I39" s="40" t="n">
        <v>1610.7</v>
      </c>
      <c r="J39" s="29" t="s">
        <v>67</v>
      </c>
      <c r="K39" s="39" t="n">
        <v>44938</v>
      </c>
      <c r="L39" s="39" t="n">
        <v>45303</v>
      </c>
      <c r="M39" s="29" t="str">
        <f aca="true">IF(L39="","N/A",IF(L39&lt;TODAY(),"Expired",IF(L39&lt;TODAY()+90,"Expiring Soon","Active")))</f>
        <v>Expired</v>
      </c>
      <c r="N39" s="29" t="s">
        <v>27</v>
      </c>
      <c r="O39" s="29" t="s">
        <v>122</v>
      </c>
      <c r="P39" s="29" t="s">
        <v>95</v>
      </c>
      <c r="Q39" s="38" t="s">
        <v>3</v>
      </c>
      <c r="R39" s="29" t="s">
        <v>162</v>
      </c>
      <c r="S39" s="29" t="s">
        <v>80</v>
      </c>
      <c r="T39" s="29"/>
    </row>
    <row r="40" customFormat="false" ht="15" hidden="false" customHeight="true" outlineLevel="0" collapsed="false">
      <c r="A40" s="25" t="s">
        <v>232</v>
      </c>
      <c r="B40" s="25" t="s">
        <v>155</v>
      </c>
      <c r="C40" s="25" t="s">
        <v>32</v>
      </c>
      <c r="D40" s="25"/>
      <c r="E40" s="25" t="s">
        <v>64</v>
      </c>
      <c r="F40" s="25" t="s">
        <v>233</v>
      </c>
      <c r="G40" s="25" t="s">
        <v>234</v>
      </c>
      <c r="H40" s="36" t="n">
        <v>45859</v>
      </c>
      <c r="I40" s="37" t="n">
        <v>3152.59</v>
      </c>
      <c r="J40" s="25" t="s">
        <v>77</v>
      </c>
      <c r="K40" s="36" t="n">
        <v>45859</v>
      </c>
      <c r="L40" s="36" t="n">
        <v>46589</v>
      </c>
      <c r="M40" s="25" t="str">
        <f aca="true">IF(L40="","N/A",IF(L40&lt;TODAY(),"Expired",IF(L40&lt;TODAY()+90,"Expiring Soon","Active")))</f>
        <v>Active</v>
      </c>
      <c r="N40" s="25" t="s">
        <v>29</v>
      </c>
      <c r="O40" s="25" t="s">
        <v>94</v>
      </c>
      <c r="P40" s="25" t="s">
        <v>206</v>
      </c>
      <c r="Q40" s="38" t="s">
        <v>3</v>
      </c>
      <c r="R40" s="25" t="s">
        <v>87</v>
      </c>
      <c r="S40" s="25" t="s">
        <v>80</v>
      </c>
      <c r="T40" s="25"/>
    </row>
    <row r="41" customFormat="false" ht="15" hidden="false" customHeight="true" outlineLevel="0" collapsed="false">
      <c r="A41" s="29" t="s">
        <v>235</v>
      </c>
      <c r="B41" s="29" t="s">
        <v>236</v>
      </c>
      <c r="C41" s="29" t="s">
        <v>34</v>
      </c>
      <c r="D41" s="29"/>
      <c r="E41" s="29" t="s">
        <v>74</v>
      </c>
      <c r="F41" s="29" t="s">
        <v>75</v>
      </c>
      <c r="G41" s="29" t="s">
        <v>237</v>
      </c>
      <c r="H41" s="39" t="n">
        <v>45389</v>
      </c>
      <c r="I41" s="40" t="n">
        <v>6367.9</v>
      </c>
      <c r="J41" s="29" t="s">
        <v>74</v>
      </c>
      <c r="K41" s="39" t="n">
        <v>45389</v>
      </c>
      <c r="L41" s="39" t="n">
        <v>46484</v>
      </c>
      <c r="M41" s="29" t="str">
        <f aca="true">IF(L41="","N/A",IF(L41&lt;TODAY(),"Expired",IF(L41&lt;TODAY()+90,"Expiring Soon","Active")))</f>
        <v>Active</v>
      </c>
      <c r="N41" s="29" t="s">
        <v>31</v>
      </c>
      <c r="O41" s="29" t="s">
        <v>107</v>
      </c>
      <c r="P41" s="29" t="s">
        <v>206</v>
      </c>
      <c r="Q41" s="38" t="s">
        <v>3</v>
      </c>
      <c r="R41" s="29" t="s">
        <v>162</v>
      </c>
      <c r="S41" s="29" t="s">
        <v>80</v>
      </c>
      <c r="T41" s="29"/>
    </row>
    <row r="42" customFormat="false" ht="15" hidden="false" customHeight="true" outlineLevel="0" collapsed="false">
      <c r="A42" s="25" t="s">
        <v>238</v>
      </c>
      <c r="B42" s="25" t="s">
        <v>203</v>
      </c>
      <c r="C42" s="25" t="s">
        <v>36</v>
      </c>
      <c r="D42" s="25"/>
      <c r="E42" s="25" t="s">
        <v>64</v>
      </c>
      <c r="F42" s="25" t="s">
        <v>65</v>
      </c>
      <c r="G42" s="25" t="s">
        <v>239</v>
      </c>
      <c r="H42" s="36" t="n">
        <v>45990</v>
      </c>
      <c r="I42" s="37" t="n">
        <v>6939.45</v>
      </c>
      <c r="J42" s="25" t="s">
        <v>67</v>
      </c>
      <c r="K42" s="36" t="n">
        <v>45990</v>
      </c>
      <c r="L42" s="36" t="n">
        <v>46355</v>
      </c>
      <c r="M42" s="25" t="str">
        <f aca="true">IF(L42="","N/A",IF(L42&lt;TODAY(),"Expired",IF(L42&lt;TODAY()+90,"Expiring Soon","Active")))</f>
        <v>Active</v>
      </c>
      <c r="N42" s="25" t="s">
        <v>33</v>
      </c>
      <c r="O42" s="25" t="s">
        <v>107</v>
      </c>
      <c r="P42" s="25" t="s">
        <v>100</v>
      </c>
      <c r="Q42" s="38" t="s">
        <v>3</v>
      </c>
      <c r="R42" s="25" t="s">
        <v>162</v>
      </c>
      <c r="S42" s="25"/>
      <c r="T42" s="25"/>
    </row>
    <row r="43" customFormat="false" ht="15" hidden="false" customHeight="true" outlineLevel="0" collapsed="false">
      <c r="A43" s="29" t="s">
        <v>240</v>
      </c>
      <c r="B43" s="29" t="s">
        <v>241</v>
      </c>
      <c r="C43" s="29" t="s">
        <v>37</v>
      </c>
      <c r="D43" s="29"/>
      <c r="E43" s="29" t="s">
        <v>145</v>
      </c>
      <c r="F43" s="29" t="s">
        <v>242</v>
      </c>
      <c r="G43" s="29" t="s">
        <v>243</v>
      </c>
      <c r="H43" s="39" t="n">
        <v>45674</v>
      </c>
      <c r="I43" s="40" t="n">
        <v>3488.49</v>
      </c>
      <c r="J43" s="29" t="s">
        <v>90</v>
      </c>
      <c r="K43" s="39" t="n">
        <v>45674</v>
      </c>
      <c r="L43" s="39" t="n">
        <v>46039</v>
      </c>
      <c r="M43" s="29" t="str">
        <f aca="true">IF(L43="","N/A",IF(L43&lt;TODAY(),"Expired",IF(L43&lt;TODAY()+90,"Expiring Soon","Active")))</f>
        <v>Expired</v>
      </c>
      <c r="N43" s="29" t="s">
        <v>35</v>
      </c>
      <c r="O43" s="29" t="s">
        <v>107</v>
      </c>
      <c r="P43" s="29" t="s">
        <v>142</v>
      </c>
      <c r="Q43" s="38" t="s">
        <v>3</v>
      </c>
      <c r="R43" s="29" t="s">
        <v>79</v>
      </c>
      <c r="S43" s="29"/>
      <c r="T43" s="29"/>
    </row>
    <row r="44" customFormat="false" ht="15" hidden="false" customHeight="true" outlineLevel="0" collapsed="false">
      <c r="A44" s="25" t="s">
        <v>244</v>
      </c>
      <c r="B44" s="25" t="s">
        <v>63</v>
      </c>
      <c r="C44" s="25" t="s">
        <v>20</v>
      </c>
      <c r="D44" s="25"/>
      <c r="E44" s="25" t="s">
        <v>64</v>
      </c>
      <c r="F44" s="25" t="s">
        <v>204</v>
      </c>
      <c r="G44" s="25" t="s">
        <v>245</v>
      </c>
      <c r="H44" s="36" t="n">
        <v>46013</v>
      </c>
      <c r="I44" s="37" t="n">
        <v>1365.06</v>
      </c>
      <c r="J44" s="25" t="s">
        <v>90</v>
      </c>
      <c r="K44" s="36" t="n">
        <v>46013</v>
      </c>
      <c r="L44" s="36" t="n">
        <v>46378</v>
      </c>
      <c r="M44" s="25" t="str">
        <f aca="true">IF(L44="","N/A",IF(L44&lt;TODAY(),"Expired",IF(L44&lt;TODAY()+90,"Expiring Soon","Active")))</f>
        <v>Active</v>
      </c>
      <c r="N44" s="25" t="s">
        <v>21</v>
      </c>
      <c r="O44" s="25" t="s">
        <v>94</v>
      </c>
      <c r="P44" s="25" t="s">
        <v>190</v>
      </c>
      <c r="Q44" s="38" t="s">
        <v>3</v>
      </c>
      <c r="R44" s="25" t="s">
        <v>70</v>
      </c>
      <c r="S44" s="25" t="s">
        <v>163</v>
      </c>
      <c r="T44" s="25"/>
    </row>
    <row r="45" customFormat="false" ht="15" hidden="false" customHeight="true" outlineLevel="0" collapsed="false">
      <c r="A45" s="29" t="s">
        <v>246</v>
      </c>
      <c r="B45" s="29" t="s">
        <v>247</v>
      </c>
      <c r="C45" s="29" t="s">
        <v>22</v>
      </c>
      <c r="D45" s="29"/>
      <c r="E45" s="29" t="s">
        <v>77</v>
      </c>
      <c r="F45" s="29" t="s">
        <v>224</v>
      </c>
      <c r="G45" s="29" t="s">
        <v>248</v>
      </c>
      <c r="H45" s="39" t="n">
        <v>45427</v>
      </c>
      <c r="I45" s="40" t="n">
        <v>3772.95</v>
      </c>
      <c r="J45" s="29" t="s">
        <v>77</v>
      </c>
      <c r="K45" s="39" t="n">
        <v>45427</v>
      </c>
      <c r="L45" s="39" t="n">
        <v>45792</v>
      </c>
      <c r="M45" s="29" t="str">
        <f aca="true">IF(L45="","N/A",IF(L45&lt;TODAY(),"Expired",IF(L45&lt;TODAY()+90,"Expiring Soon","Active")))</f>
        <v>Expired</v>
      </c>
      <c r="N45" s="29" t="s">
        <v>23</v>
      </c>
      <c r="O45" s="29" t="s">
        <v>85</v>
      </c>
      <c r="P45" s="29" t="s">
        <v>206</v>
      </c>
      <c r="Q45" s="38" t="s">
        <v>3</v>
      </c>
      <c r="R45" s="29" t="s">
        <v>162</v>
      </c>
      <c r="S45" s="29" t="s">
        <v>163</v>
      </c>
      <c r="T45" s="29"/>
    </row>
    <row r="46" customFormat="false" ht="15" hidden="false" customHeight="true" outlineLevel="0" collapsed="false">
      <c r="A46" s="25" t="s">
        <v>249</v>
      </c>
      <c r="B46" s="25" t="s">
        <v>136</v>
      </c>
      <c r="C46" s="25" t="s">
        <v>24</v>
      </c>
      <c r="D46" s="25"/>
      <c r="E46" s="25" t="s">
        <v>64</v>
      </c>
      <c r="F46" s="25" t="s">
        <v>156</v>
      </c>
      <c r="G46" s="25" t="s">
        <v>250</v>
      </c>
      <c r="H46" s="36" t="n">
        <v>45005</v>
      </c>
      <c r="I46" s="37" t="n">
        <v>7441.81</v>
      </c>
      <c r="J46" s="25" t="s">
        <v>77</v>
      </c>
      <c r="K46" s="36" t="n">
        <v>45005</v>
      </c>
      <c r="L46" s="36" t="n">
        <v>46100</v>
      </c>
      <c r="M46" s="25" t="str">
        <f aca="true">IF(L46="","N/A",IF(L46&lt;TODAY(),"Expired",IF(L46&lt;TODAY()+90,"Expiring Soon","Active")))</f>
        <v>Expiring Soon</v>
      </c>
      <c r="N46" s="25" t="s">
        <v>25</v>
      </c>
      <c r="O46" s="25" t="s">
        <v>112</v>
      </c>
      <c r="P46" s="25" t="s">
        <v>78</v>
      </c>
      <c r="Q46" s="38" t="s">
        <v>3</v>
      </c>
      <c r="R46" s="25" t="s">
        <v>87</v>
      </c>
      <c r="S46" s="25"/>
      <c r="T46" s="25"/>
    </row>
    <row r="47" customFormat="false" ht="15" hidden="false" customHeight="true" outlineLevel="0" collapsed="false">
      <c r="A47" s="29" t="s">
        <v>251</v>
      </c>
      <c r="B47" s="29" t="s">
        <v>89</v>
      </c>
      <c r="C47" s="29" t="s">
        <v>26</v>
      </c>
      <c r="D47" s="29"/>
      <c r="E47" s="29" t="s">
        <v>90</v>
      </c>
      <c r="F47" s="29" t="s">
        <v>160</v>
      </c>
      <c r="G47" s="29" t="s">
        <v>252</v>
      </c>
      <c r="H47" s="39" t="n">
        <v>45393</v>
      </c>
      <c r="I47" s="40" t="n">
        <v>5173.67</v>
      </c>
      <c r="J47" s="29" t="s">
        <v>64</v>
      </c>
      <c r="K47" s="39" t="n">
        <v>45393</v>
      </c>
      <c r="L47" s="39" t="n">
        <v>45758</v>
      </c>
      <c r="M47" s="29" t="str">
        <f aca="true">IF(L47="","N/A",IF(L47&lt;TODAY(),"Expired",IF(L47&lt;TODAY()+90,"Expiring Soon","Active")))</f>
        <v>Expired</v>
      </c>
      <c r="N47" s="29" t="s">
        <v>27</v>
      </c>
      <c r="O47" s="29" t="s">
        <v>112</v>
      </c>
      <c r="P47" s="29" t="s">
        <v>69</v>
      </c>
      <c r="Q47" s="38" t="s">
        <v>3</v>
      </c>
      <c r="R47" s="29" t="s">
        <v>162</v>
      </c>
      <c r="S47" s="29"/>
      <c r="T47" s="29"/>
    </row>
    <row r="48" customFormat="false" ht="15" hidden="false" customHeight="true" outlineLevel="0" collapsed="false">
      <c r="A48" s="25" t="s">
        <v>253</v>
      </c>
      <c r="B48" s="25" t="s">
        <v>254</v>
      </c>
      <c r="C48" s="25" t="s">
        <v>28</v>
      </c>
      <c r="D48" s="25"/>
      <c r="E48" s="25" t="s">
        <v>64</v>
      </c>
      <c r="F48" s="25" t="s">
        <v>156</v>
      </c>
      <c r="G48" s="25" t="s">
        <v>255</v>
      </c>
      <c r="H48" s="36" t="n">
        <v>45245</v>
      </c>
      <c r="I48" s="37" t="n">
        <v>5729.06</v>
      </c>
      <c r="J48" s="25" t="s">
        <v>77</v>
      </c>
      <c r="K48" s="36" t="n">
        <v>45245</v>
      </c>
      <c r="L48" s="36" t="n">
        <v>45610</v>
      </c>
      <c r="M48" s="25" t="str">
        <f aca="true">IF(L48="","N/A",IF(L48&lt;TODAY(),"Expired",IF(L48&lt;TODAY()+90,"Expiring Soon","Active")))</f>
        <v>Expired</v>
      </c>
      <c r="N48" s="25" t="s">
        <v>29</v>
      </c>
      <c r="O48" s="25" t="s">
        <v>172</v>
      </c>
      <c r="P48" s="25" t="s">
        <v>256</v>
      </c>
      <c r="Q48" s="38" t="s">
        <v>3</v>
      </c>
      <c r="R48" s="25" t="s">
        <v>87</v>
      </c>
      <c r="S48" s="25" t="s">
        <v>71</v>
      </c>
      <c r="T48" s="25"/>
    </row>
    <row r="49" customFormat="false" ht="15" hidden="false" customHeight="true" outlineLevel="0" collapsed="false">
      <c r="A49" s="29" t="s">
        <v>257</v>
      </c>
      <c r="B49" s="29" t="s">
        <v>258</v>
      </c>
      <c r="C49" s="29" t="s">
        <v>30</v>
      </c>
      <c r="D49" s="29"/>
      <c r="E49" s="29" t="s">
        <v>77</v>
      </c>
      <c r="F49" s="29" t="s">
        <v>259</v>
      </c>
      <c r="G49" s="29" t="s">
        <v>260</v>
      </c>
      <c r="H49" s="39" t="n">
        <v>44947</v>
      </c>
      <c r="I49" s="40" t="n">
        <v>6752.94</v>
      </c>
      <c r="J49" s="29" t="s">
        <v>90</v>
      </c>
      <c r="K49" s="39" t="n">
        <v>44947</v>
      </c>
      <c r="L49" s="39" t="n">
        <v>45677</v>
      </c>
      <c r="M49" s="29" t="str">
        <f aca="true">IF(L49="","N/A",IF(L49&lt;TODAY(),"Expired",IF(L49&lt;TODAY()+90,"Expiring Soon","Active")))</f>
        <v>Expired</v>
      </c>
      <c r="N49" s="29" t="s">
        <v>31</v>
      </c>
      <c r="O49" s="29" t="s">
        <v>172</v>
      </c>
      <c r="P49" s="29" t="s">
        <v>113</v>
      </c>
      <c r="Q49" s="38" t="s">
        <v>3</v>
      </c>
      <c r="R49" s="29" t="s">
        <v>162</v>
      </c>
      <c r="S49" s="29" t="s">
        <v>201</v>
      </c>
      <c r="T49" s="29"/>
    </row>
    <row r="50" customFormat="false" ht="15" hidden="false" customHeight="true" outlineLevel="0" collapsed="false">
      <c r="A50" s="25" t="s">
        <v>261</v>
      </c>
      <c r="B50" s="25" t="s">
        <v>262</v>
      </c>
      <c r="C50" s="25" t="s">
        <v>32</v>
      </c>
      <c r="D50" s="25"/>
      <c r="E50" s="25" t="s">
        <v>74</v>
      </c>
      <c r="F50" s="25" t="s">
        <v>263</v>
      </c>
      <c r="G50" s="25" t="s">
        <v>264</v>
      </c>
      <c r="H50" s="36" t="n">
        <v>45023</v>
      </c>
      <c r="I50" s="37" t="n">
        <v>4048.9</v>
      </c>
      <c r="J50" s="25" t="s">
        <v>93</v>
      </c>
      <c r="K50" s="36" t="n">
        <v>45023</v>
      </c>
      <c r="L50" s="36" t="n">
        <v>46118</v>
      </c>
      <c r="M50" s="25" t="str">
        <f aca="true">IF(L50="","N/A",IF(L50&lt;TODAY(),"Expired",IF(L50&lt;TODAY()+90,"Expiring Soon","Active")))</f>
        <v>Expiring Soon</v>
      </c>
      <c r="N50" s="25" t="s">
        <v>33</v>
      </c>
      <c r="O50" s="25" t="s">
        <v>172</v>
      </c>
      <c r="P50" s="25" t="s">
        <v>190</v>
      </c>
      <c r="Q50" s="38" t="s">
        <v>3</v>
      </c>
      <c r="R50" s="25" t="s">
        <v>162</v>
      </c>
      <c r="S50" s="25" t="s">
        <v>163</v>
      </c>
      <c r="T50" s="25"/>
    </row>
    <row r="51" customFormat="false" ht="15" hidden="false" customHeight="true" outlineLevel="0" collapsed="false">
      <c r="A51" s="29" t="s">
        <v>265</v>
      </c>
      <c r="B51" s="29" t="s">
        <v>266</v>
      </c>
      <c r="C51" s="29" t="s">
        <v>34</v>
      </c>
      <c r="D51" s="29"/>
      <c r="E51" s="29" t="s">
        <v>145</v>
      </c>
      <c r="F51" s="29" t="s">
        <v>267</v>
      </c>
      <c r="G51" s="29" t="s">
        <v>268</v>
      </c>
      <c r="H51" s="39" t="n">
        <v>45609</v>
      </c>
      <c r="I51" s="40" t="n">
        <v>6549.22</v>
      </c>
      <c r="J51" s="29" t="s">
        <v>67</v>
      </c>
      <c r="K51" s="39" t="n">
        <v>45609</v>
      </c>
      <c r="L51" s="39" t="n">
        <v>45974</v>
      </c>
      <c r="M51" s="29" t="str">
        <f aca="true">IF(L51="","N/A",IF(L51&lt;TODAY(),"Expired",IF(L51&lt;TODAY()+90,"Expiring Soon","Active")))</f>
        <v>Expired</v>
      </c>
      <c r="N51" s="29" t="s">
        <v>35</v>
      </c>
      <c r="O51" s="29" t="s">
        <v>68</v>
      </c>
      <c r="P51" s="29" t="s">
        <v>123</v>
      </c>
      <c r="Q51" s="38" t="s">
        <v>3</v>
      </c>
      <c r="R51" s="29" t="s">
        <v>70</v>
      </c>
      <c r="S51" s="29" t="s">
        <v>201</v>
      </c>
      <c r="T51" s="29"/>
    </row>
    <row r="52" customFormat="false" ht="15" hidden="false" customHeight="true" outlineLevel="0" collapsed="false">
      <c r="A52" s="25" t="s">
        <v>269</v>
      </c>
      <c r="B52" s="25" t="s">
        <v>270</v>
      </c>
      <c r="C52" s="25" t="s">
        <v>36</v>
      </c>
      <c r="D52" s="25"/>
      <c r="E52" s="25" t="s">
        <v>74</v>
      </c>
      <c r="F52" s="25" t="s">
        <v>271</v>
      </c>
      <c r="G52" s="25" t="s">
        <v>272</v>
      </c>
      <c r="H52" s="36" t="n">
        <v>45671</v>
      </c>
      <c r="I52" s="37" t="n">
        <v>5887.59</v>
      </c>
      <c r="J52" s="25" t="s">
        <v>74</v>
      </c>
      <c r="K52" s="36" t="n">
        <v>45671</v>
      </c>
      <c r="L52" s="36" t="n">
        <v>46401</v>
      </c>
      <c r="M52" s="25" t="str">
        <f aca="true">IF(L52="","N/A",IF(L52&lt;TODAY(),"Expired",IF(L52&lt;TODAY()+90,"Expiring Soon","Active")))</f>
        <v>Active</v>
      </c>
      <c r="N52" s="25" t="s">
        <v>21</v>
      </c>
      <c r="O52" s="25" t="s">
        <v>85</v>
      </c>
      <c r="P52" s="25" t="s">
        <v>142</v>
      </c>
      <c r="Q52" s="38" t="s">
        <v>3</v>
      </c>
      <c r="R52" s="25" t="s">
        <v>70</v>
      </c>
      <c r="S52" s="25"/>
      <c r="T52" s="25"/>
    </row>
    <row r="53" customFormat="false" ht="15" hidden="false" customHeight="true" outlineLevel="0" collapsed="false">
      <c r="A53" s="29" t="s">
        <v>273</v>
      </c>
      <c r="B53" s="29" t="s">
        <v>169</v>
      </c>
      <c r="C53" s="29" t="s">
        <v>37</v>
      </c>
      <c r="D53" s="29"/>
      <c r="E53" s="29" t="s">
        <v>103</v>
      </c>
      <c r="F53" s="29" t="s">
        <v>274</v>
      </c>
      <c r="G53" s="29" t="s">
        <v>275</v>
      </c>
      <c r="H53" s="39" t="n">
        <v>45709</v>
      </c>
      <c r="I53" s="40" t="n">
        <v>6530.82</v>
      </c>
      <c r="J53" s="29" t="s">
        <v>64</v>
      </c>
      <c r="K53" s="39" t="n">
        <v>45709</v>
      </c>
      <c r="L53" s="39" t="n">
        <v>46804</v>
      </c>
      <c r="M53" s="29" t="str">
        <f aca="true">IF(L53="","N/A",IF(L53&lt;TODAY(),"Expired",IF(L53&lt;TODAY()+90,"Expiring Soon","Active")))</f>
        <v>Active</v>
      </c>
      <c r="N53" s="29" t="s">
        <v>23</v>
      </c>
      <c r="O53" s="29" t="s">
        <v>85</v>
      </c>
      <c r="P53" s="29"/>
      <c r="Q53" s="41" t="s">
        <v>4</v>
      </c>
      <c r="R53" s="29" t="s">
        <v>70</v>
      </c>
      <c r="S53" s="29"/>
      <c r="T53" s="29"/>
    </row>
  </sheetData>
  <mergeCells count="2">
    <mergeCell ref="A1:T1"/>
    <mergeCell ref="A2:T2"/>
  </mergeCells>
  <dataValidations count="5">
    <dataValidation allowBlank="false" errorStyle="stop" operator="between" showDropDown="false" showErrorMessage="false" showInputMessage="false" sqref="C4:C500" type="list">
      <formula1>"Laptop,Desktop,Monitor,Printer,Server,Network,Phone,Tablet,Projector,UPS"</formula1>
      <formula2>0</formula2>
    </dataValidation>
    <dataValidation allowBlank="false" errorStyle="stop" operator="between" showDropDown="false" showErrorMessage="false" showInputMessage="false" sqref="Q4:Q500" type="list">
      <formula1>"In Use,Available,Under Repair,Retired,Lost/Stolen,In Storage"</formula1>
      <formula2>0</formula2>
    </dataValidation>
    <dataValidation allowBlank="false" errorStyle="stop" operator="between" showDropDown="false" showErrorMessage="false" showInputMessage="false" sqref="N4:N500" type="list">
      <formula1>"IT,Finance,HR,Operations,Marketing,Sales,Legal,Executive"</formula1>
      <formula2>0</formula2>
    </dataValidation>
    <dataValidation allowBlank="false" errorStyle="stop" operator="between" showDropDown="false" showErrorMessage="false" showInputMessage="false" sqref="O4:O500" type="list">
      <formula1>"HQ - Floor 1,HQ - Floor 2,HQ - Floor 3,Branch - Dubai,Branch - Abu Dhabi,Data Center,Warehouse"</formula1>
      <formula2>0</formula2>
    </dataValidation>
    <dataValidation allowBlank="false" errorStyle="stop" operator="between" showDropDown="false" showErrorMessage="false" showInputMessage="false" sqref="R4:R500" type="list">
      <formula1>"Excellent,Good,Fair,Poor"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A085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22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20"/>
  </cols>
  <sheetData>
    <row r="1" customFormat="false" ht="36" hidden="false" customHeight="true" outlineLevel="0" collapsed="false">
      <c r="A1" s="35" t="s">
        <v>276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customFormat="false" ht="19.5" hidden="false" customHeight="true" outlineLevel="0" collapsed="false">
      <c r="A2" s="3" t="s">
        <v>277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7.75" hidden="false" customHeight="true" outlineLevel="0" collapsed="false">
      <c r="A3" s="43" t="s">
        <v>278</v>
      </c>
      <c r="B3" s="43" t="s">
        <v>279</v>
      </c>
      <c r="C3" s="43" t="s">
        <v>280</v>
      </c>
      <c r="D3" s="43" t="s">
        <v>18</v>
      </c>
      <c r="E3" s="43" t="s">
        <v>281</v>
      </c>
      <c r="F3" s="43" t="s">
        <v>56</v>
      </c>
      <c r="G3" s="43" t="s">
        <v>32</v>
      </c>
      <c r="H3" s="43" t="s">
        <v>282</v>
      </c>
      <c r="I3" s="43" t="s">
        <v>58</v>
      </c>
      <c r="J3" s="43" t="s">
        <v>283</v>
      </c>
      <c r="K3" s="43" t="s">
        <v>61</v>
      </c>
    </row>
    <row r="4" customFormat="false" ht="15" hidden="false" customHeight="true" outlineLevel="0" collapsed="false">
      <c r="A4" s="25" t="s">
        <v>284</v>
      </c>
      <c r="B4" s="25" t="s">
        <v>95</v>
      </c>
      <c r="C4" s="25" t="s">
        <v>285</v>
      </c>
      <c r="D4" s="25" t="s">
        <v>23</v>
      </c>
      <c r="E4" s="25" t="s">
        <v>286</v>
      </c>
      <c r="F4" s="25" t="s">
        <v>68</v>
      </c>
      <c r="G4" s="25" t="s">
        <v>287</v>
      </c>
      <c r="H4" s="25" t="s">
        <v>190</v>
      </c>
      <c r="I4" s="25" t="s">
        <v>288</v>
      </c>
      <c r="J4" s="25" t="n">
        <f aca="false">COUNTIF('Asset Register'!P:P,B4)</f>
        <v>4</v>
      </c>
      <c r="K4" s="25"/>
    </row>
    <row r="5" customFormat="false" ht="15" hidden="false" customHeight="true" outlineLevel="0" collapsed="false">
      <c r="A5" s="29" t="s">
        <v>289</v>
      </c>
      <c r="B5" s="29" t="s">
        <v>153</v>
      </c>
      <c r="C5" s="29" t="s">
        <v>290</v>
      </c>
      <c r="D5" s="29" t="s">
        <v>25</v>
      </c>
      <c r="E5" s="29" t="s">
        <v>291</v>
      </c>
      <c r="F5" s="29" t="s">
        <v>122</v>
      </c>
      <c r="G5" s="29" t="s">
        <v>292</v>
      </c>
      <c r="H5" s="29" t="s">
        <v>100</v>
      </c>
      <c r="I5" s="29" t="s">
        <v>288</v>
      </c>
      <c r="J5" s="29" t="n">
        <f aca="false">COUNTIF('Asset Register'!P:P,B5)</f>
        <v>3</v>
      </c>
      <c r="K5" s="29"/>
    </row>
    <row r="6" customFormat="false" ht="15" hidden="false" customHeight="true" outlineLevel="0" collapsed="false">
      <c r="A6" s="25" t="s">
        <v>293</v>
      </c>
      <c r="B6" s="25" t="s">
        <v>86</v>
      </c>
      <c r="C6" s="25" t="s">
        <v>294</v>
      </c>
      <c r="D6" s="25" t="s">
        <v>27</v>
      </c>
      <c r="E6" s="25" t="s">
        <v>291</v>
      </c>
      <c r="F6" s="25" t="s">
        <v>122</v>
      </c>
      <c r="G6" s="25" t="s">
        <v>295</v>
      </c>
      <c r="H6" s="25" t="s">
        <v>256</v>
      </c>
      <c r="I6" s="25" t="s">
        <v>288</v>
      </c>
      <c r="J6" s="25" t="n">
        <f aca="false">COUNTIF('Asset Register'!P:P,B6)</f>
        <v>2</v>
      </c>
      <c r="K6" s="25"/>
    </row>
    <row r="7" customFormat="false" ht="15" hidden="false" customHeight="true" outlineLevel="0" collapsed="false">
      <c r="A7" s="29" t="s">
        <v>296</v>
      </c>
      <c r="B7" s="29" t="s">
        <v>206</v>
      </c>
      <c r="C7" s="29" t="s">
        <v>297</v>
      </c>
      <c r="D7" s="29" t="s">
        <v>29</v>
      </c>
      <c r="E7" s="29" t="s">
        <v>291</v>
      </c>
      <c r="F7" s="29" t="s">
        <v>172</v>
      </c>
      <c r="G7" s="29" t="s">
        <v>298</v>
      </c>
      <c r="H7" s="29" t="s">
        <v>123</v>
      </c>
      <c r="I7" s="29" t="s">
        <v>288</v>
      </c>
      <c r="J7" s="29" t="n">
        <f aca="false">COUNTIF('Asset Register'!P:P,B7)</f>
        <v>4</v>
      </c>
      <c r="K7" s="29"/>
    </row>
    <row r="8" customFormat="false" ht="15" hidden="false" customHeight="true" outlineLevel="0" collapsed="false">
      <c r="A8" s="25" t="s">
        <v>299</v>
      </c>
      <c r="B8" s="25" t="s">
        <v>190</v>
      </c>
      <c r="C8" s="25" t="s">
        <v>300</v>
      </c>
      <c r="D8" s="25" t="s">
        <v>31</v>
      </c>
      <c r="E8" s="25" t="s">
        <v>286</v>
      </c>
      <c r="F8" s="25" t="s">
        <v>172</v>
      </c>
      <c r="G8" s="25" t="s">
        <v>301</v>
      </c>
      <c r="H8" s="25" t="s">
        <v>69</v>
      </c>
      <c r="I8" s="25" t="s">
        <v>288</v>
      </c>
      <c r="J8" s="25" t="n">
        <f aca="false">COUNTIF('Asset Register'!P:P,B8)</f>
        <v>3</v>
      </c>
      <c r="K8" s="25"/>
    </row>
    <row r="9" customFormat="false" ht="15" hidden="false" customHeight="true" outlineLevel="0" collapsed="false">
      <c r="A9" s="29" t="s">
        <v>302</v>
      </c>
      <c r="B9" s="29" t="s">
        <v>100</v>
      </c>
      <c r="C9" s="29" t="s">
        <v>303</v>
      </c>
      <c r="D9" s="29" t="s">
        <v>33</v>
      </c>
      <c r="E9" s="29" t="s">
        <v>291</v>
      </c>
      <c r="F9" s="29" t="s">
        <v>172</v>
      </c>
      <c r="G9" s="29" t="s">
        <v>304</v>
      </c>
      <c r="H9" s="29" t="s">
        <v>113</v>
      </c>
      <c r="I9" s="29" t="s">
        <v>288</v>
      </c>
      <c r="J9" s="29" t="n">
        <f aca="false">COUNTIF('Asset Register'!P:P,B9)</f>
        <v>3</v>
      </c>
      <c r="K9" s="29"/>
    </row>
    <row r="10" customFormat="false" ht="15" hidden="false" customHeight="true" outlineLevel="0" collapsed="false">
      <c r="A10" s="25" t="s">
        <v>305</v>
      </c>
      <c r="B10" s="25" t="s">
        <v>256</v>
      </c>
      <c r="C10" s="25" t="s">
        <v>306</v>
      </c>
      <c r="D10" s="25" t="s">
        <v>35</v>
      </c>
      <c r="E10" s="25" t="s">
        <v>286</v>
      </c>
      <c r="F10" s="25" t="s">
        <v>68</v>
      </c>
      <c r="G10" s="25" t="s">
        <v>307</v>
      </c>
      <c r="H10" s="25" t="s">
        <v>142</v>
      </c>
      <c r="I10" s="25" t="s">
        <v>288</v>
      </c>
      <c r="J10" s="25" t="n">
        <f aca="false">COUNTIF('Asset Register'!P:P,B10)</f>
        <v>1</v>
      </c>
      <c r="K10" s="25"/>
    </row>
    <row r="11" customFormat="false" ht="15" hidden="false" customHeight="true" outlineLevel="0" collapsed="false">
      <c r="A11" s="29" t="s">
        <v>308</v>
      </c>
      <c r="B11" s="29" t="s">
        <v>123</v>
      </c>
      <c r="C11" s="29" t="s">
        <v>309</v>
      </c>
      <c r="D11" s="29" t="s">
        <v>21</v>
      </c>
      <c r="E11" s="29" t="s">
        <v>310</v>
      </c>
      <c r="F11" s="29" t="s">
        <v>172</v>
      </c>
      <c r="G11" s="29" t="s">
        <v>311</v>
      </c>
      <c r="H11" s="29" t="s">
        <v>78</v>
      </c>
      <c r="I11" s="29" t="s">
        <v>288</v>
      </c>
      <c r="J11" s="29" t="n">
        <f aca="false">COUNTIF('Asset Register'!P:P,B11)</f>
        <v>5</v>
      </c>
      <c r="K11" s="29"/>
    </row>
    <row r="12" customFormat="false" ht="15" hidden="false" customHeight="true" outlineLevel="0" collapsed="false">
      <c r="A12" s="25" t="s">
        <v>312</v>
      </c>
      <c r="B12" s="25" t="s">
        <v>69</v>
      </c>
      <c r="C12" s="25" t="s">
        <v>313</v>
      </c>
      <c r="D12" s="25" t="s">
        <v>23</v>
      </c>
      <c r="E12" s="25" t="s">
        <v>282</v>
      </c>
      <c r="F12" s="25" t="s">
        <v>68</v>
      </c>
      <c r="G12" s="25" t="s">
        <v>314</v>
      </c>
      <c r="H12" s="25" t="s">
        <v>95</v>
      </c>
      <c r="I12" s="25" t="s">
        <v>288</v>
      </c>
      <c r="J12" s="25" t="n">
        <f aca="false">COUNTIF('Asset Register'!P:P,B12)</f>
        <v>6</v>
      </c>
      <c r="K12" s="25"/>
    </row>
    <row r="13" customFormat="false" ht="15" hidden="false" customHeight="true" outlineLevel="0" collapsed="false">
      <c r="A13" s="29" t="s">
        <v>315</v>
      </c>
      <c r="B13" s="29" t="s">
        <v>113</v>
      </c>
      <c r="C13" s="29" t="s">
        <v>316</v>
      </c>
      <c r="D13" s="29" t="s">
        <v>25</v>
      </c>
      <c r="E13" s="29" t="s">
        <v>286</v>
      </c>
      <c r="F13" s="29" t="s">
        <v>122</v>
      </c>
      <c r="G13" s="29" t="s">
        <v>317</v>
      </c>
      <c r="H13" s="29" t="s">
        <v>153</v>
      </c>
      <c r="I13" s="29" t="s">
        <v>288</v>
      </c>
      <c r="J13" s="29" t="n">
        <f aca="false">COUNTIF('Asset Register'!P:P,B13)</f>
        <v>6</v>
      </c>
      <c r="K13" s="29"/>
    </row>
    <row r="14" customFormat="false" ht="15" hidden="false" customHeight="true" outlineLevel="0" collapsed="false">
      <c r="A14" s="25" t="s">
        <v>318</v>
      </c>
      <c r="B14" s="25" t="s">
        <v>142</v>
      </c>
      <c r="C14" s="25" t="s">
        <v>319</v>
      </c>
      <c r="D14" s="25" t="s">
        <v>27</v>
      </c>
      <c r="E14" s="25" t="s">
        <v>282</v>
      </c>
      <c r="F14" s="25" t="s">
        <v>172</v>
      </c>
      <c r="G14" s="25" t="s">
        <v>320</v>
      </c>
      <c r="H14" s="25" t="s">
        <v>86</v>
      </c>
      <c r="I14" s="25" t="s">
        <v>288</v>
      </c>
      <c r="J14" s="25" t="n">
        <f aca="false">COUNTIF('Asset Register'!P:P,B14)</f>
        <v>4</v>
      </c>
      <c r="K14" s="25"/>
    </row>
    <row r="15" customFormat="false" ht="15" hidden="false" customHeight="true" outlineLevel="0" collapsed="false">
      <c r="A15" s="29" t="s">
        <v>321</v>
      </c>
      <c r="B15" s="29" t="s">
        <v>78</v>
      </c>
      <c r="C15" s="29" t="s">
        <v>322</v>
      </c>
      <c r="D15" s="29" t="s">
        <v>29</v>
      </c>
      <c r="E15" s="29" t="s">
        <v>291</v>
      </c>
      <c r="F15" s="29" t="s">
        <v>172</v>
      </c>
      <c r="G15" s="29" t="s">
        <v>323</v>
      </c>
      <c r="H15" s="29" t="s">
        <v>206</v>
      </c>
      <c r="I15" s="29" t="s">
        <v>288</v>
      </c>
      <c r="J15" s="29" t="n">
        <f aca="false">COUNTIF('Asset Register'!P:P,B15)</f>
        <v>2</v>
      </c>
      <c r="K15" s="29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true"/>
  </sheetPr>
  <dimension ref="A1:P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9" min="9" style="1" width="20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3" min="12" style="1" width="10"/>
    <col collapsed="false" customWidth="true" hidden="false" outlineLevel="0" max="14" min="14" style="1" width="14"/>
    <col collapsed="false" customWidth="true" hidden="false" outlineLevel="0" max="15" min="15" style="1" width="12"/>
    <col collapsed="false" customWidth="true" hidden="false" outlineLevel="0" max="16" min="16" style="1" width="24"/>
  </cols>
  <sheetData>
    <row r="1" customFormat="false" ht="36" hidden="false" customHeight="true" outlineLevel="0" collapsed="false">
      <c r="A1" s="35" t="s">
        <v>324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customFormat="false" ht="19.5" hidden="false" customHeight="true" outlineLevel="0" collapsed="false">
      <c r="A2" s="3" t="s">
        <v>325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27.75" hidden="false" customHeight="true" outlineLevel="0" collapsed="false">
      <c r="A3" s="43" t="s">
        <v>326</v>
      </c>
      <c r="B3" s="43" t="s">
        <v>327</v>
      </c>
      <c r="C3" s="43" t="s">
        <v>44</v>
      </c>
      <c r="D3" s="43" t="s">
        <v>45</v>
      </c>
      <c r="E3" s="43" t="s">
        <v>328</v>
      </c>
      <c r="F3" s="43" t="s">
        <v>278</v>
      </c>
      <c r="G3" s="43" t="s">
        <v>329</v>
      </c>
      <c r="H3" s="43" t="s">
        <v>18</v>
      </c>
      <c r="I3" s="43" t="s">
        <v>330</v>
      </c>
      <c r="J3" s="43" t="s">
        <v>331</v>
      </c>
      <c r="K3" s="43" t="s">
        <v>332</v>
      </c>
      <c r="L3" s="43" t="s">
        <v>333</v>
      </c>
      <c r="M3" s="43" t="s">
        <v>58</v>
      </c>
      <c r="N3" s="43" t="s">
        <v>334</v>
      </c>
      <c r="O3" s="43" t="s">
        <v>335</v>
      </c>
      <c r="P3" s="43" t="s">
        <v>61</v>
      </c>
    </row>
    <row r="4" customFormat="false" ht="15" hidden="false" customHeight="true" outlineLevel="0" collapsed="false">
      <c r="A4" s="25" t="s">
        <v>336</v>
      </c>
      <c r="B4" s="36" t="n">
        <v>45994</v>
      </c>
      <c r="C4" s="25" t="s">
        <v>72</v>
      </c>
      <c r="D4" s="25" t="s">
        <v>73</v>
      </c>
      <c r="E4" s="25" t="s">
        <v>337</v>
      </c>
      <c r="F4" s="25" t="s">
        <v>305</v>
      </c>
      <c r="G4" s="25" t="s">
        <v>256</v>
      </c>
      <c r="H4" s="25" t="s">
        <v>35</v>
      </c>
      <c r="I4" s="25" t="s">
        <v>113</v>
      </c>
      <c r="J4" s="36"/>
      <c r="K4" s="36" t="n">
        <v>46017</v>
      </c>
      <c r="L4" s="25" t="n">
        <f aca="true">IF(K4&lt;&gt;"",K4-B4,TODAY()-B4)</f>
        <v>23</v>
      </c>
      <c r="M4" s="41" t="s">
        <v>338</v>
      </c>
      <c r="N4" s="25" t="s">
        <v>70</v>
      </c>
      <c r="O4" s="25" t="s">
        <v>79</v>
      </c>
      <c r="P4" s="25"/>
    </row>
    <row r="5" customFormat="false" ht="15" hidden="false" customHeight="true" outlineLevel="0" collapsed="false">
      <c r="A5" s="29" t="s">
        <v>339</v>
      </c>
      <c r="B5" s="39" t="n">
        <v>45855</v>
      </c>
      <c r="C5" s="29" t="s">
        <v>81</v>
      </c>
      <c r="D5" s="29" t="s">
        <v>82</v>
      </c>
      <c r="E5" s="29" t="s">
        <v>340</v>
      </c>
      <c r="F5" s="29" t="s">
        <v>302</v>
      </c>
      <c r="G5" s="29" t="s">
        <v>100</v>
      </c>
      <c r="H5" s="29" t="s">
        <v>33</v>
      </c>
      <c r="I5" s="29" t="s">
        <v>190</v>
      </c>
      <c r="J5" s="39" t="n">
        <v>46084</v>
      </c>
      <c r="K5" s="39"/>
      <c r="L5" s="29" t="n">
        <f aca="true">IF(K5&lt;&gt;"",K5-B5,TODAY()-B5)</f>
        <v>244</v>
      </c>
      <c r="M5" s="38" t="s">
        <v>341</v>
      </c>
      <c r="N5" s="29" t="s">
        <v>79</v>
      </c>
      <c r="O5" s="29"/>
      <c r="P5" s="29"/>
    </row>
    <row r="6" customFormat="false" ht="15" hidden="false" customHeight="true" outlineLevel="0" collapsed="false">
      <c r="A6" s="25" t="s">
        <v>342</v>
      </c>
      <c r="B6" s="36" t="n">
        <v>45824</v>
      </c>
      <c r="C6" s="25" t="s">
        <v>88</v>
      </c>
      <c r="D6" s="25" t="s">
        <v>89</v>
      </c>
      <c r="E6" s="25" t="s">
        <v>343</v>
      </c>
      <c r="F6" s="25" t="s">
        <v>315</v>
      </c>
      <c r="G6" s="25" t="s">
        <v>113</v>
      </c>
      <c r="H6" s="25" t="s">
        <v>25</v>
      </c>
      <c r="I6" s="25" t="s">
        <v>206</v>
      </c>
      <c r="J6" s="36" t="n">
        <v>46103</v>
      </c>
      <c r="K6" s="36"/>
      <c r="L6" s="25" t="n">
        <f aca="true">IF(K6&lt;&gt;"",K6-B6,TODAY()-B6)</f>
        <v>275</v>
      </c>
      <c r="M6" s="41" t="s">
        <v>338</v>
      </c>
      <c r="N6" s="25" t="s">
        <v>87</v>
      </c>
      <c r="O6" s="25"/>
      <c r="P6" s="25"/>
    </row>
    <row r="7" customFormat="false" ht="15" hidden="false" customHeight="true" outlineLevel="0" collapsed="false">
      <c r="A7" s="29" t="s">
        <v>344</v>
      </c>
      <c r="B7" s="39" t="n">
        <v>45960</v>
      </c>
      <c r="C7" s="29" t="s">
        <v>96</v>
      </c>
      <c r="D7" s="29" t="s">
        <v>97</v>
      </c>
      <c r="E7" s="29" t="s">
        <v>337</v>
      </c>
      <c r="F7" s="29" t="s">
        <v>308</v>
      </c>
      <c r="G7" s="29" t="s">
        <v>123</v>
      </c>
      <c r="H7" s="29" t="s">
        <v>21</v>
      </c>
      <c r="I7" s="29" t="s">
        <v>95</v>
      </c>
      <c r="J7" s="39"/>
      <c r="K7" s="39" t="n">
        <v>45973</v>
      </c>
      <c r="L7" s="29" t="n">
        <f aca="true">IF(K7&lt;&gt;"",K7-B7,TODAY()-B7)</f>
        <v>13</v>
      </c>
      <c r="M7" s="41" t="s">
        <v>338</v>
      </c>
      <c r="N7" s="29" t="s">
        <v>162</v>
      </c>
      <c r="O7" s="29" t="s">
        <v>79</v>
      </c>
      <c r="P7" s="29"/>
    </row>
    <row r="8" customFormat="false" ht="15" hidden="false" customHeight="true" outlineLevel="0" collapsed="false">
      <c r="A8" s="25" t="s">
        <v>345</v>
      </c>
      <c r="B8" s="36" t="n">
        <v>46015</v>
      </c>
      <c r="C8" s="25" t="s">
        <v>101</v>
      </c>
      <c r="D8" s="25" t="s">
        <v>102</v>
      </c>
      <c r="E8" s="25" t="s">
        <v>337</v>
      </c>
      <c r="F8" s="25" t="s">
        <v>293</v>
      </c>
      <c r="G8" s="25" t="s">
        <v>86</v>
      </c>
      <c r="H8" s="25" t="s">
        <v>27</v>
      </c>
      <c r="I8" s="25" t="s">
        <v>113</v>
      </c>
      <c r="J8" s="36"/>
      <c r="K8" s="36" t="n">
        <v>46033</v>
      </c>
      <c r="L8" s="25" t="n">
        <f aca="true">IF(K8&lt;&gt;"",K8-B8,TODAY()-B8)</f>
        <v>18</v>
      </c>
      <c r="M8" s="41" t="s">
        <v>338</v>
      </c>
      <c r="N8" s="25" t="s">
        <v>70</v>
      </c>
      <c r="O8" s="25" t="s">
        <v>79</v>
      </c>
      <c r="P8" s="25"/>
    </row>
    <row r="9" customFormat="false" ht="15" hidden="false" customHeight="true" outlineLevel="0" collapsed="false">
      <c r="A9" s="29" t="s">
        <v>346</v>
      </c>
      <c r="B9" s="39" t="n">
        <v>45796</v>
      </c>
      <c r="C9" s="29" t="s">
        <v>108</v>
      </c>
      <c r="D9" s="29" t="s">
        <v>109</v>
      </c>
      <c r="E9" s="29" t="s">
        <v>343</v>
      </c>
      <c r="F9" s="29" t="s">
        <v>318</v>
      </c>
      <c r="G9" s="29" t="s">
        <v>142</v>
      </c>
      <c r="H9" s="29" t="s">
        <v>27</v>
      </c>
      <c r="I9" s="29" t="s">
        <v>95</v>
      </c>
      <c r="J9" s="39" t="n">
        <v>45868</v>
      </c>
      <c r="K9" s="39"/>
      <c r="L9" s="29" t="n">
        <f aca="true">IF(K9&lt;&gt;"",K9-B9,TODAY()-B9)</f>
        <v>303</v>
      </c>
      <c r="M9" s="41" t="s">
        <v>338</v>
      </c>
      <c r="N9" s="29" t="s">
        <v>79</v>
      </c>
      <c r="O9" s="29"/>
      <c r="P9" s="29"/>
    </row>
    <row r="10" customFormat="false" ht="15" hidden="false" customHeight="true" outlineLevel="0" collapsed="false">
      <c r="A10" s="25" t="s">
        <v>347</v>
      </c>
      <c r="B10" s="36" t="n">
        <v>46030</v>
      </c>
      <c r="C10" s="25" t="s">
        <v>114</v>
      </c>
      <c r="D10" s="25" t="s">
        <v>115</v>
      </c>
      <c r="E10" s="25" t="s">
        <v>337</v>
      </c>
      <c r="F10" s="25" t="s">
        <v>293</v>
      </c>
      <c r="G10" s="25" t="s">
        <v>86</v>
      </c>
      <c r="H10" s="25" t="s">
        <v>27</v>
      </c>
      <c r="I10" s="25" t="s">
        <v>95</v>
      </c>
      <c r="J10" s="36"/>
      <c r="K10" s="36" t="n">
        <v>46039</v>
      </c>
      <c r="L10" s="25" t="n">
        <f aca="true">IF(K10&lt;&gt;"",K10-B10,TODAY()-B10)</f>
        <v>9</v>
      </c>
      <c r="M10" s="41" t="s">
        <v>338</v>
      </c>
      <c r="N10" s="25" t="s">
        <v>79</v>
      </c>
      <c r="O10" s="25" t="s">
        <v>162</v>
      </c>
      <c r="P10" s="25"/>
    </row>
    <row r="11" customFormat="false" ht="15" hidden="false" customHeight="true" outlineLevel="0" collapsed="false">
      <c r="A11" s="29" t="s">
        <v>348</v>
      </c>
      <c r="B11" s="39" t="n">
        <v>45991</v>
      </c>
      <c r="C11" s="29" t="s">
        <v>118</v>
      </c>
      <c r="D11" s="29" t="s">
        <v>119</v>
      </c>
      <c r="E11" s="29" t="s">
        <v>337</v>
      </c>
      <c r="F11" s="29" t="s">
        <v>302</v>
      </c>
      <c r="G11" s="29" t="s">
        <v>100</v>
      </c>
      <c r="H11" s="29" t="s">
        <v>33</v>
      </c>
      <c r="I11" s="29" t="s">
        <v>100</v>
      </c>
      <c r="J11" s="39"/>
      <c r="K11" s="39" t="n">
        <v>46016</v>
      </c>
      <c r="L11" s="29" t="n">
        <f aca="true">IF(K11&lt;&gt;"",K11-B11,TODAY()-B11)</f>
        <v>25</v>
      </c>
      <c r="M11" s="41" t="s">
        <v>338</v>
      </c>
      <c r="N11" s="29" t="s">
        <v>79</v>
      </c>
      <c r="O11" s="29" t="s">
        <v>162</v>
      </c>
      <c r="P11" s="29"/>
    </row>
    <row r="12" customFormat="false" ht="15" hidden="false" customHeight="true" outlineLevel="0" collapsed="false">
      <c r="A12" s="25" t="s">
        <v>349</v>
      </c>
      <c r="B12" s="36" t="n">
        <v>45884</v>
      </c>
      <c r="C12" s="25" t="s">
        <v>124</v>
      </c>
      <c r="D12" s="25" t="s">
        <v>125</v>
      </c>
      <c r="E12" s="25" t="s">
        <v>340</v>
      </c>
      <c r="F12" s="25" t="s">
        <v>289</v>
      </c>
      <c r="G12" s="25" t="s">
        <v>153</v>
      </c>
      <c r="H12" s="25" t="s">
        <v>25</v>
      </c>
      <c r="I12" s="25" t="s">
        <v>123</v>
      </c>
      <c r="J12" s="36" t="n">
        <v>45923</v>
      </c>
      <c r="K12" s="36"/>
      <c r="L12" s="25" t="n">
        <f aca="true">IF(K12&lt;&gt;"",K12-B12,TODAY()-B12)</f>
        <v>215</v>
      </c>
      <c r="M12" s="38" t="s">
        <v>341</v>
      </c>
      <c r="N12" s="25" t="s">
        <v>70</v>
      </c>
      <c r="O12" s="25"/>
      <c r="P12" s="25"/>
    </row>
    <row r="13" customFormat="false" ht="15" hidden="false" customHeight="true" outlineLevel="0" collapsed="false">
      <c r="A13" s="29" t="s">
        <v>350</v>
      </c>
      <c r="B13" s="39" t="n">
        <v>45920</v>
      </c>
      <c r="C13" s="29" t="s">
        <v>128</v>
      </c>
      <c r="D13" s="29" t="s">
        <v>129</v>
      </c>
      <c r="E13" s="29" t="s">
        <v>340</v>
      </c>
      <c r="F13" s="29" t="s">
        <v>318</v>
      </c>
      <c r="G13" s="29" t="s">
        <v>142</v>
      </c>
      <c r="H13" s="29" t="s">
        <v>27</v>
      </c>
      <c r="I13" s="29" t="s">
        <v>153</v>
      </c>
      <c r="J13" s="39" t="n">
        <v>46283</v>
      </c>
      <c r="K13" s="39"/>
      <c r="L13" s="29" t="n">
        <f aca="true">IF(K13&lt;&gt;"",K13-B13,TODAY()-B13)</f>
        <v>179</v>
      </c>
      <c r="M13" s="38" t="s">
        <v>341</v>
      </c>
      <c r="N13" s="29" t="s">
        <v>70</v>
      </c>
      <c r="O13" s="29"/>
      <c r="P13" s="29"/>
    </row>
    <row r="14" customFormat="false" ht="15" hidden="false" customHeight="true" outlineLevel="0" collapsed="false">
      <c r="A14" s="25" t="s">
        <v>351</v>
      </c>
      <c r="B14" s="36" t="n">
        <v>46084</v>
      </c>
      <c r="C14" s="25" t="s">
        <v>132</v>
      </c>
      <c r="D14" s="25" t="s">
        <v>133</v>
      </c>
      <c r="E14" s="25" t="s">
        <v>340</v>
      </c>
      <c r="F14" s="25" t="s">
        <v>296</v>
      </c>
      <c r="G14" s="25" t="s">
        <v>206</v>
      </c>
      <c r="H14" s="25" t="s">
        <v>29</v>
      </c>
      <c r="I14" s="25" t="s">
        <v>95</v>
      </c>
      <c r="J14" s="36" t="n">
        <v>46432</v>
      </c>
      <c r="K14" s="36"/>
      <c r="L14" s="25" t="n">
        <f aca="true">IF(K14&lt;&gt;"",K14-B14,TODAY()-B14)</f>
        <v>15</v>
      </c>
      <c r="M14" s="38" t="s">
        <v>341</v>
      </c>
      <c r="N14" s="25" t="s">
        <v>87</v>
      </c>
      <c r="O14" s="25"/>
      <c r="P14" s="25"/>
    </row>
    <row r="15" customFormat="false" ht="15" hidden="false" customHeight="true" outlineLevel="0" collapsed="false">
      <c r="A15" s="29" t="s">
        <v>352</v>
      </c>
      <c r="B15" s="39" t="n">
        <v>45977</v>
      </c>
      <c r="C15" s="29" t="s">
        <v>135</v>
      </c>
      <c r="D15" s="29" t="s">
        <v>136</v>
      </c>
      <c r="E15" s="29" t="s">
        <v>340</v>
      </c>
      <c r="F15" s="29" t="s">
        <v>308</v>
      </c>
      <c r="G15" s="29" t="s">
        <v>123</v>
      </c>
      <c r="H15" s="29" t="s">
        <v>21</v>
      </c>
      <c r="I15" s="29" t="s">
        <v>142</v>
      </c>
      <c r="J15" s="39" t="n">
        <v>46065</v>
      </c>
      <c r="K15" s="39"/>
      <c r="L15" s="29" t="n">
        <f aca="true">IF(K15&lt;&gt;"",K15-B15,TODAY()-B15)</f>
        <v>122</v>
      </c>
      <c r="M15" s="38" t="s">
        <v>341</v>
      </c>
      <c r="N15" s="29" t="s">
        <v>87</v>
      </c>
      <c r="O15" s="29"/>
      <c r="P15" s="29"/>
    </row>
    <row r="16" customFormat="false" ht="15" hidden="false" customHeight="true" outlineLevel="0" collapsed="false">
      <c r="A16" s="25" t="s">
        <v>353</v>
      </c>
      <c r="B16" s="36" t="n">
        <v>45861</v>
      </c>
      <c r="C16" s="25" t="s">
        <v>138</v>
      </c>
      <c r="D16" s="25" t="s">
        <v>139</v>
      </c>
      <c r="E16" s="25" t="s">
        <v>340</v>
      </c>
      <c r="F16" s="25" t="s">
        <v>302</v>
      </c>
      <c r="G16" s="25" t="s">
        <v>100</v>
      </c>
      <c r="H16" s="25" t="s">
        <v>33</v>
      </c>
      <c r="I16" s="25" t="s">
        <v>86</v>
      </c>
      <c r="J16" s="36" t="n">
        <v>46201</v>
      </c>
      <c r="K16" s="36"/>
      <c r="L16" s="25" t="n">
        <f aca="true">IF(K16&lt;&gt;"",K16-B16,TODAY()-B16)</f>
        <v>238</v>
      </c>
      <c r="M16" s="38" t="s">
        <v>341</v>
      </c>
      <c r="N16" s="25" t="s">
        <v>70</v>
      </c>
      <c r="O16" s="25"/>
      <c r="P16" s="25"/>
    </row>
    <row r="17" customFormat="false" ht="15" hidden="false" customHeight="true" outlineLevel="0" collapsed="false">
      <c r="A17" s="29" t="s">
        <v>354</v>
      </c>
      <c r="B17" s="39" t="n">
        <v>46016</v>
      </c>
      <c r="C17" s="29" t="s">
        <v>143</v>
      </c>
      <c r="D17" s="29" t="s">
        <v>144</v>
      </c>
      <c r="E17" s="29" t="s">
        <v>340</v>
      </c>
      <c r="F17" s="29" t="s">
        <v>289</v>
      </c>
      <c r="G17" s="29" t="s">
        <v>153</v>
      </c>
      <c r="H17" s="29" t="s">
        <v>25</v>
      </c>
      <c r="I17" s="29" t="s">
        <v>113</v>
      </c>
      <c r="J17" s="39" t="n">
        <v>46059</v>
      </c>
      <c r="K17" s="39"/>
      <c r="L17" s="29" t="n">
        <f aca="true">IF(K17&lt;&gt;"",K17-B17,TODAY()-B17)</f>
        <v>83</v>
      </c>
      <c r="M17" s="38" t="s">
        <v>341</v>
      </c>
      <c r="N17" s="29" t="s">
        <v>162</v>
      </c>
      <c r="O17" s="29"/>
      <c r="P17" s="29"/>
    </row>
    <row r="18" customFormat="false" ht="15" hidden="false" customHeight="true" outlineLevel="0" collapsed="false">
      <c r="A18" s="25" t="s">
        <v>355</v>
      </c>
      <c r="B18" s="36" t="n">
        <v>45805</v>
      </c>
      <c r="C18" s="25" t="s">
        <v>149</v>
      </c>
      <c r="D18" s="25" t="s">
        <v>150</v>
      </c>
      <c r="E18" s="25" t="s">
        <v>337</v>
      </c>
      <c r="F18" s="25" t="s">
        <v>305</v>
      </c>
      <c r="G18" s="25" t="s">
        <v>256</v>
      </c>
      <c r="H18" s="25" t="s">
        <v>35</v>
      </c>
      <c r="I18" s="25" t="s">
        <v>78</v>
      </c>
      <c r="J18" s="36"/>
      <c r="K18" s="36" t="n">
        <v>45812</v>
      </c>
      <c r="L18" s="25" t="n">
        <f aca="true">IF(K18&lt;&gt;"",K18-B18,TODAY()-B18)</f>
        <v>7</v>
      </c>
      <c r="M18" s="41" t="s">
        <v>338</v>
      </c>
      <c r="N18" s="25" t="s">
        <v>70</v>
      </c>
      <c r="O18" s="25" t="s">
        <v>87</v>
      </c>
      <c r="P18" s="25"/>
    </row>
    <row r="19" customFormat="false" ht="15" hidden="false" customHeight="true" outlineLevel="0" collapsed="false">
      <c r="A19" s="29" t="s">
        <v>356</v>
      </c>
      <c r="B19" s="39" t="n">
        <v>46047</v>
      </c>
      <c r="C19" s="29" t="s">
        <v>154</v>
      </c>
      <c r="D19" s="29" t="s">
        <v>155</v>
      </c>
      <c r="E19" s="29" t="s">
        <v>340</v>
      </c>
      <c r="F19" s="29" t="s">
        <v>318</v>
      </c>
      <c r="G19" s="29" t="s">
        <v>142</v>
      </c>
      <c r="H19" s="29" t="s">
        <v>27</v>
      </c>
      <c r="I19" s="29" t="s">
        <v>113</v>
      </c>
      <c r="J19" s="39" t="n">
        <v>46138</v>
      </c>
      <c r="K19" s="39"/>
      <c r="L19" s="29" t="n">
        <f aca="true">IF(K19&lt;&gt;"",K19-B19,TODAY()-B19)</f>
        <v>52</v>
      </c>
      <c r="M19" s="38" t="s">
        <v>341</v>
      </c>
      <c r="N19" s="29" t="s">
        <v>70</v>
      </c>
      <c r="O19" s="29"/>
      <c r="P19" s="29"/>
    </row>
    <row r="20" customFormat="false" ht="15" hidden="false" customHeight="true" outlineLevel="0" collapsed="false">
      <c r="A20" s="25" t="s">
        <v>357</v>
      </c>
      <c r="B20" s="36" t="n">
        <v>45922</v>
      </c>
      <c r="C20" s="25" t="s">
        <v>158</v>
      </c>
      <c r="D20" s="25" t="s">
        <v>159</v>
      </c>
      <c r="E20" s="25" t="s">
        <v>343</v>
      </c>
      <c r="F20" s="25" t="s">
        <v>305</v>
      </c>
      <c r="G20" s="25" t="s">
        <v>256</v>
      </c>
      <c r="H20" s="25" t="s">
        <v>35</v>
      </c>
      <c r="I20" s="25" t="s">
        <v>142</v>
      </c>
      <c r="J20" s="36" t="n">
        <v>46141</v>
      </c>
      <c r="K20" s="36"/>
      <c r="L20" s="25" t="n">
        <f aca="true">IF(K20&lt;&gt;"",K20-B20,TODAY()-B20)</f>
        <v>177</v>
      </c>
      <c r="M20" s="41" t="s">
        <v>338</v>
      </c>
      <c r="N20" s="25" t="s">
        <v>70</v>
      </c>
      <c r="O20" s="25"/>
      <c r="P20" s="25"/>
    </row>
    <row r="21" customFormat="false" ht="15" hidden="false" customHeight="true" outlineLevel="0" collapsed="false">
      <c r="A21" s="29" t="s">
        <v>358</v>
      </c>
      <c r="B21" s="39" t="n">
        <v>45840</v>
      </c>
      <c r="C21" s="29" t="s">
        <v>164</v>
      </c>
      <c r="D21" s="29" t="s">
        <v>165</v>
      </c>
      <c r="E21" s="29" t="s">
        <v>340</v>
      </c>
      <c r="F21" s="29" t="s">
        <v>284</v>
      </c>
      <c r="G21" s="29" t="s">
        <v>95</v>
      </c>
      <c r="H21" s="29" t="s">
        <v>23</v>
      </c>
      <c r="I21" s="29" t="s">
        <v>256</v>
      </c>
      <c r="J21" s="39" t="n">
        <v>46120</v>
      </c>
      <c r="K21" s="39"/>
      <c r="L21" s="29" t="n">
        <f aca="true">IF(K21&lt;&gt;"",K21-B21,TODAY()-B21)</f>
        <v>259</v>
      </c>
      <c r="M21" s="38" t="s">
        <v>341</v>
      </c>
      <c r="N21" s="29" t="s">
        <v>70</v>
      </c>
      <c r="O21" s="29"/>
      <c r="P21" s="29"/>
    </row>
    <row r="22" customFormat="false" ht="15" hidden="false" customHeight="true" outlineLevel="0" collapsed="false">
      <c r="A22" s="25" t="s">
        <v>359</v>
      </c>
      <c r="B22" s="36" t="n">
        <v>45878</v>
      </c>
      <c r="C22" s="25" t="s">
        <v>168</v>
      </c>
      <c r="D22" s="25" t="s">
        <v>169</v>
      </c>
      <c r="E22" s="25" t="s">
        <v>340</v>
      </c>
      <c r="F22" s="25" t="s">
        <v>318</v>
      </c>
      <c r="G22" s="25" t="s">
        <v>142</v>
      </c>
      <c r="H22" s="25" t="s">
        <v>27</v>
      </c>
      <c r="I22" s="25" t="s">
        <v>123</v>
      </c>
      <c r="J22" s="36" t="n">
        <v>45986</v>
      </c>
      <c r="K22" s="36"/>
      <c r="L22" s="25" t="n">
        <f aca="true">IF(K22&lt;&gt;"",K22-B22,TODAY()-B22)</f>
        <v>221</v>
      </c>
      <c r="M22" s="38" t="s">
        <v>341</v>
      </c>
      <c r="N22" s="25" t="s">
        <v>79</v>
      </c>
      <c r="O22" s="25"/>
      <c r="P22" s="25"/>
    </row>
    <row r="23" customFormat="false" ht="15" hidden="false" customHeight="true" outlineLevel="0" collapsed="false">
      <c r="A23" s="29" t="s">
        <v>360</v>
      </c>
      <c r="B23" s="39" t="n">
        <v>46009</v>
      </c>
      <c r="C23" s="29" t="s">
        <v>173</v>
      </c>
      <c r="D23" s="29" t="s">
        <v>174</v>
      </c>
      <c r="E23" s="29" t="s">
        <v>343</v>
      </c>
      <c r="F23" s="29" t="s">
        <v>318</v>
      </c>
      <c r="G23" s="29" t="s">
        <v>142</v>
      </c>
      <c r="H23" s="29" t="s">
        <v>27</v>
      </c>
      <c r="I23" s="29" t="s">
        <v>190</v>
      </c>
      <c r="J23" s="39" t="n">
        <v>46354</v>
      </c>
      <c r="K23" s="39"/>
      <c r="L23" s="29" t="n">
        <f aca="true">IF(K23&lt;&gt;"",K23-B23,TODAY()-B23)</f>
        <v>90</v>
      </c>
      <c r="M23" s="41" t="s">
        <v>338</v>
      </c>
      <c r="N23" s="29" t="s">
        <v>79</v>
      </c>
      <c r="O23" s="29"/>
      <c r="P23" s="29"/>
    </row>
    <row r="24" customFormat="false" ht="15" hidden="false" customHeight="true" outlineLevel="0" collapsed="false">
      <c r="A24" s="25" t="s">
        <v>361</v>
      </c>
      <c r="B24" s="36" t="n">
        <v>45861</v>
      </c>
      <c r="C24" s="25" t="s">
        <v>177</v>
      </c>
      <c r="D24" s="25" t="s">
        <v>133</v>
      </c>
      <c r="E24" s="25" t="s">
        <v>337</v>
      </c>
      <c r="F24" s="25" t="s">
        <v>321</v>
      </c>
      <c r="G24" s="25" t="s">
        <v>78</v>
      </c>
      <c r="H24" s="25" t="s">
        <v>29</v>
      </c>
      <c r="I24" s="25" t="s">
        <v>113</v>
      </c>
      <c r="J24" s="36"/>
      <c r="K24" s="36" t="n">
        <v>45870</v>
      </c>
      <c r="L24" s="25" t="n">
        <f aca="true">IF(K24&lt;&gt;"",K24-B24,TODAY()-B24)</f>
        <v>9</v>
      </c>
      <c r="M24" s="41" t="s">
        <v>338</v>
      </c>
      <c r="N24" s="25" t="s">
        <v>162</v>
      </c>
      <c r="O24" s="25" t="s">
        <v>87</v>
      </c>
      <c r="P24" s="25"/>
    </row>
    <row r="25" customFormat="false" ht="15" hidden="false" customHeight="true" outlineLevel="0" collapsed="false">
      <c r="A25" s="29" t="s">
        <v>362</v>
      </c>
      <c r="B25" s="39" t="n">
        <v>46055</v>
      </c>
      <c r="C25" s="29" t="s">
        <v>179</v>
      </c>
      <c r="D25" s="29" t="s">
        <v>82</v>
      </c>
      <c r="E25" s="29" t="s">
        <v>340</v>
      </c>
      <c r="F25" s="29" t="s">
        <v>308</v>
      </c>
      <c r="G25" s="29" t="s">
        <v>123</v>
      </c>
      <c r="H25" s="29" t="s">
        <v>21</v>
      </c>
      <c r="I25" s="29" t="s">
        <v>206</v>
      </c>
      <c r="J25" s="39" t="n">
        <v>46322</v>
      </c>
      <c r="K25" s="39"/>
      <c r="L25" s="29" t="n">
        <f aca="true">IF(K25&lt;&gt;"",K25-B25,TODAY()-B25)</f>
        <v>44</v>
      </c>
      <c r="M25" s="38" t="s">
        <v>341</v>
      </c>
      <c r="N25" s="29" t="s">
        <v>79</v>
      </c>
      <c r="O25" s="29"/>
      <c r="P25" s="29"/>
    </row>
    <row r="26" customFormat="false" ht="15" hidden="false" customHeight="true" outlineLevel="0" collapsed="false">
      <c r="A26" s="25" t="s">
        <v>363</v>
      </c>
      <c r="B26" s="36" t="n">
        <v>45927</v>
      </c>
      <c r="C26" s="25" t="s">
        <v>182</v>
      </c>
      <c r="D26" s="25" t="s">
        <v>183</v>
      </c>
      <c r="E26" s="25" t="s">
        <v>340</v>
      </c>
      <c r="F26" s="25" t="s">
        <v>308</v>
      </c>
      <c r="G26" s="25" t="s">
        <v>123</v>
      </c>
      <c r="H26" s="25" t="s">
        <v>21</v>
      </c>
      <c r="I26" s="25" t="s">
        <v>100</v>
      </c>
      <c r="J26" s="36" t="n">
        <v>46050</v>
      </c>
      <c r="K26" s="36"/>
      <c r="L26" s="25" t="n">
        <f aca="true">IF(K26&lt;&gt;"",K26-B26,TODAY()-B26)</f>
        <v>172</v>
      </c>
      <c r="M26" s="38" t="s">
        <v>341</v>
      </c>
      <c r="N26" s="25" t="s">
        <v>79</v>
      </c>
      <c r="O26" s="25"/>
      <c r="P26" s="25"/>
    </row>
    <row r="27" customFormat="false" ht="15" hidden="false" customHeight="true" outlineLevel="0" collapsed="false">
      <c r="A27" s="29" t="s">
        <v>364</v>
      </c>
      <c r="B27" s="39" t="n">
        <v>45991</v>
      </c>
      <c r="C27" s="29" t="s">
        <v>186</v>
      </c>
      <c r="D27" s="29" t="s">
        <v>187</v>
      </c>
      <c r="E27" s="29" t="s">
        <v>340</v>
      </c>
      <c r="F27" s="29" t="s">
        <v>299</v>
      </c>
      <c r="G27" s="29" t="s">
        <v>190</v>
      </c>
      <c r="H27" s="29" t="s">
        <v>31</v>
      </c>
      <c r="I27" s="29" t="s">
        <v>100</v>
      </c>
      <c r="J27" s="39" t="n">
        <v>46164</v>
      </c>
      <c r="K27" s="39"/>
      <c r="L27" s="29" t="n">
        <f aca="true">IF(K27&lt;&gt;"",K27-B27,TODAY()-B27)</f>
        <v>108</v>
      </c>
      <c r="M27" s="38" t="s">
        <v>341</v>
      </c>
      <c r="N27" s="29" t="s">
        <v>162</v>
      </c>
      <c r="O27" s="29"/>
      <c r="P27" s="29"/>
    </row>
    <row r="28" customFormat="false" ht="15" hidden="false" customHeight="true" outlineLevel="0" collapsed="false">
      <c r="A28" s="25" t="s">
        <v>365</v>
      </c>
      <c r="B28" s="36" t="n">
        <v>45815</v>
      </c>
      <c r="C28" s="25" t="s">
        <v>191</v>
      </c>
      <c r="D28" s="25" t="s">
        <v>192</v>
      </c>
      <c r="E28" s="25" t="s">
        <v>340</v>
      </c>
      <c r="F28" s="25" t="s">
        <v>312</v>
      </c>
      <c r="G28" s="25" t="s">
        <v>69</v>
      </c>
      <c r="H28" s="25" t="s">
        <v>23</v>
      </c>
      <c r="I28" s="25" t="s">
        <v>206</v>
      </c>
      <c r="J28" s="36" t="n">
        <v>45888</v>
      </c>
      <c r="K28" s="36"/>
      <c r="L28" s="25" t="n">
        <f aca="true">IF(K28&lt;&gt;"",K28-B28,TODAY()-B28)</f>
        <v>284</v>
      </c>
      <c r="M28" s="38" t="s">
        <v>341</v>
      </c>
      <c r="N28" s="25" t="s">
        <v>87</v>
      </c>
      <c r="O28" s="25"/>
      <c r="P28" s="25"/>
    </row>
    <row r="29" customFormat="false" ht="15" hidden="false" customHeight="true" outlineLevel="0" collapsed="false">
      <c r="A29" s="29" t="s">
        <v>366</v>
      </c>
      <c r="B29" s="39" t="n">
        <v>45891</v>
      </c>
      <c r="C29" s="29" t="s">
        <v>195</v>
      </c>
      <c r="D29" s="29" t="s">
        <v>109</v>
      </c>
      <c r="E29" s="29" t="s">
        <v>337</v>
      </c>
      <c r="F29" s="29" t="s">
        <v>312</v>
      </c>
      <c r="G29" s="29" t="s">
        <v>69</v>
      </c>
      <c r="H29" s="29" t="s">
        <v>23</v>
      </c>
      <c r="I29" s="29" t="s">
        <v>206</v>
      </c>
      <c r="J29" s="39"/>
      <c r="K29" s="39" t="n">
        <v>45914</v>
      </c>
      <c r="L29" s="29" t="n">
        <f aca="true">IF(K29&lt;&gt;"",K29-B29,TODAY()-B29)</f>
        <v>23</v>
      </c>
      <c r="M29" s="41" t="s">
        <v>338</v>
      </c>
      <c r="N29" s="29" t="s">
        <v>79</v>
      </c>
      <c r="O29" s="29" t="s">
        <v>79</v>
      </c>
      <c r="P29" s="29"/>
    </row>
    <row r="30" customFormat="false" ht="15" hidden="false" customHeight="true" outlineLevel="0" collapsed="false">
      <c r="A30" s="25" t="s">
        <v>367</v>
      </c>
      <c r="B30" s="36" t="n">
        <v>45870</v>
      </c>
      <c r="C30" s="25" t="s">
        <v>198</v>
      </c>
      <c r="D30" s="25" t="s">
        <v>199</v>
      </c>
      <c r="E30" s="25" t="s">
        <v>340</v>
      </c>
      <c r="F30" s="25" t="s">
        <v>289</v>
      </c>
      <c r="G30" s="25" t="s">
        <v>153</v>
      </c>
      <c r="H30" s="25" t="s">
        <v>25</v>
      </c>
      <c r="I30" s="25" t="s">
        <v>190</v>
      </c>
      <c r="J30" s="36" t="n">
        <v>46013</v>
      </c>
      <c r="K30" s="36"/>
      <c r="L30" s="25" t="n">
        <f aca="true">IF(K30&lt;&gt;"",K30-B30,TODAY()-B30)</f>
        <v>229</v>
      </c>
      <c r="M30" s="38" t="s">
        <v>341</v>
      </c>
      <c r="N30" s="25" t="s">
        <v>79</v>
      </c>
      <c r="O30" s="25"/>
      <c r="P30" s="25"/>
    </row>
    <row r="31" customFormat="false" ht="15" hidden="false" customHeight="true" outlineLevel="0" collapsed="false">
      <c r="A31" s="29" t="s">
        <v>368</v>
      </c>
      <c r="B31" s="39" t="n">
        <v>45745</v>
      </c>
      <c r="C31" s="29" t="s">
        <v>202</v>
      </c>
      <c r="D31" s="29" t="s">
        <v>203</v>
      </c>
      <c r="E31" s="29" t="s">
        <v>340</v>
      </c>
      <c r="F31" s="29" t="s">
        <v>299</v>
      </c>
      <c r="G31" s="29" t="s">
        <v>190</v>
      </c>
      <c r="H31" s="29" t="s">
        <v>31</v>
      </c>
      <c r="I31" s="29" t="s">
        <v>142</v>
      </c>
      <c r="J31" s="39" t="n">
        <v>46072</v>
      </c>
      <c r="K31" s="39"/>
      <c r="L31" s="29" t="n">
        <f aca="true">IF(K31&lt;&gt;"",K31-B31,TODAY()-B31)</f>
        <v>354</v>
      </c>
      <c r="M31" s="38" t="s">
        <v>341</v>
      </c>
      <c r="N31" s="29" t="s">
        <v>162</v>
      </c>
      <c r="O31" s="29"/>
      <c r="P31" s="29"/>
    </row>
    <row r="32" customFormat="false" ht="15" hidden="false" customHeight="true" outlineLevel="0" collapsed="false">
      <c r="A32" s="25" t="s">
        <v>369</v>
      </c>
      <c r="B32" s="36" t="n">
        <v>45857</v>
      </c>
      <c r="C32" s="25" t="s">
        <v>207</v>
      </c>
      <c r="D32" s="25" t="s">
        <v>208</v>
      </c>
      <c r="E32" s="25" t="s">
        <v>343</v>
      </c>
      <c r="F32" s="25" t="s">
        <v>312</v>
      </c>
      <c r="G32" s="25" t="s">
        <v>69</v>
      </c>
      <c r="H32" s="25" t="s">
        <v>23</v>
      </c>
      <c r="I32" s="25" t="s">
        <v>100</v>
      </c>
      <c r="J32" s="36" t="n">
        <v>46104</v>
      </c>
      <c r="K32" s="36"/>
      <c r="L32" s="25" t="n">
        <f aca="true">IF(K32&lt;&gt;"",K32-B32,TODAY()-B32)</f>
        <v>242</v>
      </c>
      <c r="M32" s="41" t="s">
        <v>338</v>
      </c>
      <c r="N32" s="25" t="s">
        <v>162</v>
      </c>
      <c r="O32" s="25"/>
      <c r="P32" s="25"/>
    </row>
    <row r="33" customFormat="false" ht="15" hidden="false" customHeight="true" outlineLevel="0" collapsed="false">
      <c r="A33" s="29" t="s">
        <v>370</v>
      </c>
      <c r="B33" s="39" t="n">
        <v>45919</v>
      </c>
      <c r="C33" s="29" t="s">
        <v>211</v>
      </c>
      <c r="D33" s="29" t="s">
        <v>212</v>
      </c>
      <c r="E33" s="29" t="s">
        <v>337</v>
      </c>
      <c r="F33" s="29" t="s">
        <v>299</v>
      </c>
      <c r="G33" s="29" t="s">
        <v>190</v>
      </c>
      <c r="H33" s="29" t="s">
        <v>31</v>
      </c>
      <c r="I33" s="29" t="s">
        <v>190</v>
      </c>
      <c r="J33" s="39"/>
      <c r="K33" s="39" t="n">
        <v>45928</v>
      </c>
      <c r="L33" s="29" t="n">
        <f aca="true">IF(K33&lt;&gt;"",K33-B33,TODAY()-B33)</f>
        <v>9</v>
      </c>
      <c r="M33" s="41" t="s">
        <v>338</v>
      </c>
      <c r="N33" s="29" t="s">
        <v>87</v>
      </c>
      <c r="O33" s="29" t="s">
        <v>70</v>
      </c>
      <c r="P33" s="29"/>
    </row>
    <row r="34" customFormat="false" ht="15" hidden="false" customHeight="true" outlineLevel="0" collapsed="false">
      <c r="A34" s="25" t="s">
        <v>371</v>
      </c>
      <c r="B34" s="36" t="n">
        <v>46001</v>
      </c>
      <c r="C34" s="25" t="s">
        <v>215</v>
      </c>
      <c r="D34" s="25" t="s">
        <v>133</v>
      </c>
      <c r="E34" s="25" t="s">
        <v>340</v>
      </c>
      <c r="F34" s="25" t="s">
        <v>289</v>
      </c>
      <c r="G34" s="25" t="s">
        <v>153</v>
      </c>
      <c r="H34" s="25" t="s">
        <v>25</v>
      </c>
      <c r="I34" s="25" t="s">
        <v>78</v>
      </c>
      <c r="J34" s="36" t="n">
        <v>46305</v>
      </c>
      <c r="K34" s="36"/>
      <c r="L34" s="25" t="n">
        <f aca="true">IF(K34&lt;&gt;"",K34-B34,TODAY()-B34)</f>
        <v>98</v>
      </c>
      <c r="M34" s="38" t="s">
        <v>341</v>
      </c>
      <c r="N34" s="25" t="s">
        <v>87</v>
      </c>
      <c r="O34" s="25"/>
      <c r="P34" s="25"/>
    </row>
    <row r="35" customFormat="false" ht="15" hidden="false" customHeight="true" outlineLevel="0" collapsed="false">
      <c r="A35" s="29" t="s">
        <v>372</v>
      </c>
      <c r="B35" s="39" t="n">
        <v>46001</v>
      </c>
      <c r="C35" s="29" t="s">
        <v>218</v>
      </c>
      <c r="D35" s="29" t="s">
        <v>219</v>
      </c>
      <c r="E35" s="29" t="s">
        <v>340</v>
      </c>
      <c r="F35" s="29" t="s">
        <v>321</v>
      </c>
      <c r="G35" s="29" t="s">
        <v>78</v>
      </c>
      <c r="H35" s="29" t="s">
        <v>29</v>
      </c>
      <c r="I35" s="29" t="s">
        <v>123</v>
      </c>
      <c r="J35" s="39" t="n">
        <v>46172</v>
      </c>
      <c r="K35" s="39"/>
      <c r="L35" s="29" t="n">
        <f aca="true">IF(K35&lt;&gt;"",K35-B35,TODAY()-B35)</f>
        <v>98</v>
      </c>
      <c r="M35" s="38" t="s">
        <v>341</v>
      </c>
      <c r="N35" s="29" t="s">
        <v>162</v>
      </c>
      <c r="O35" s="29"/>
      <c r="P35" s="29"/>
    </row>
    <row r="36" customFormat="false" ht="15" hidden="false" customHeight="true" outlineLevel="0" collapsed="false">
      <c r="A36" s="25" t="s">
        <v>373</v>
      </c>
      <c r="B36" s="36" t="n">
        <v>46048</v>
      </c>
      <c r="C36" s="25" t="s">
        <v>222</v>
      </c>
      <c r="D36" s="25" t="s">
        <v>223</v>
      </c>
      <c r="E36" s="25" t="s">
        <v>340</v>
      </c>
      <c r="F36" s="25" t="s">
        <v>299</v>
      </c>
      <c r="G36" s="25" t="s">
        <v>190</v>
      </c>
      <c r="H36" s="25" t="s">
        <v>31</v>
      </c>
      <c r="I36" s="25" t="s">
        <v>206</v>
      </c>
      <c r="J36" s="36" t="n">
        <v>46262</v>
      </c>
      <c r="K36" s="36"/>
      <c r="L36" s="25" t="n">
        <f aca="true">IF(K36&lt;&gt;"",K36-B36,TODAY()-B36)</f>
        <v>51</v>
      </c>
      <c r="M36" s="38" t="s">
        <v>341</v>
      </c>
      <c r="N36" s="25" t="s">
        <v>87</v>
      </c>
      <c r="O36" s="25"/>
      <c r="P36" s="25"/>
    </row>
    <row r="37" customFormat="false" ht="15" hidden="false" customHeight="true" outlineLevel="0" collapsed="false">
      <c r="A37" s="29" t="s">
        <v>374</v>
      </c>
      <c r="B37" s="39" t="n">
        <v>45945</v>
      </c>
      <c r="C37" s="29" t="s">
        <v>226</v>
      </c>
      <c r="D37" s="29" t="s">
        <v>144</v>
      </c>
      <c r="E37" s="29" t="s">
        <v>340</v>
      </c>
      <c r="F37" s="29" t="s">
        <v>321</v>
      </c>
      <c r="G37" s="29" t="s">
        <v>78</v>
      </c>
      <c r="H37" s="29" t="s">
        <v>29</v>
      </c>
      <c r="I37" s="29" t="s">
        <v>69</v>
      </c>
      <c r="J37" s="39" t="n">
        <v>46039</v>
      </c>
      <c r="K37" s="39"/>
      <c r="L37" s="29" t="n">
        <f aca="true">IF(K37&lt;&gt;"",K37-B37,TODAY()-B37)</f>
        <v>154</v>
      </c>
      <c r="M37" s="38" t="s">
        <v>341</v>
      </c>
      <c r="N37" s="29" t="s">
        <v>162</v>
      </c>
      <c r="O37" s="29"/>
      <c r="P37" s="29"/>
    </row>
    <row r="38" customFormat="false" ht="15" hidden="false" customHeight="true" outlineLevel="0" collapsed="false">
      <c r="A38" s="25" t="s">
        <v>375</v>
      </c>
      <c r="B38" s="36" t="n">
        <v>46076</v>
      </c>
      <c r="C38" s="25" t="s">
        <v>229</v>
      </c>
      <c r="D38" s="25" t="s">
        <v>102</v>
      </c>
      <c r="E38" s="25" t="s">
        <v>340</v>
      </c>
      <c r="F38" s="25" t="s">
        <v>312</v>
      </c>
      <c r="G38" s="25" t="s">
        <v>69</v>
      </c>
      <c r="H38" s="25" t="s">
        <v>23</v>
      </c>
      <c r="I38" s="25" t="s">
        <v>190</v>
      </c>
      <c r="J38" s="36" t="n">
        <v>46170</v>
      </c>
      <c r="K38" s="36"/>
      <c r="L38" s="25" t="n">
        <f aca="true">IF(K38&lt;&gt;"",K38-B38,TODAY()-B38)</f>
        <v>23</v>
      </c>
      <c r="M38" s="38" t="s">
        <v>341</v>
      </c>
      <c r="N38" s="25" t="s">
        <v>79</v>
      </c>
      <c r="O38" s="25"/>
      <c r="P38" s="25"/>
    </row>
    <row r="39" customFormat="false" ht="15" hidden="false" customHeight="true" outlineLevel="0" collapsed="false">
      <c r="A39" s="29" t="s">
        <v>376</v>
      </c>
      <c r="B39" s="39" t="n">
        <v>46047</v>
      </c>
      <c r="C39" s="29" t="s">
        <v>232</v>
      </c>
      <c r="D39" s="29" t="s">
        <v>155</v>
      </c>
      <c r="E39" s="29" t="s">
        <v>340</v>
      </c>
      <c r="F39" s="29" t="s">
        <v>315</v>
      </c>
      <c r="G39" s="29" t="s">
        <v>113</v>
      </c>
      <c r="H39" s="29" t="s">
        <v>25</v>
      </c>
      <c r="I39" s="29" t="s">
        <v>190</v>
      </c>
      <c r="J39" s="39" t="n">
        <v>46317</v>
      </c>
      <c r="K39" s="39"/>
      <c r="L39" s="29" t="n">
        <f aca="true">IF(K39&lt;&gt;"",K39-B39,TODAY()-B39)</f>
        <v>52</v>
      </c>
      <c r="M39" s="38" t="s">
        <v>341</v>
      </c>
      <c r="N39" s="29" t="s">
        <v>79</v>
      </c>
      <c r="O39" s="29"/>
      <c r="P39" s="29"/>
    </row>
    <row r="40" customFormat="false" ht="15" hidden="false" customHeight="true" outlineLevel="0" collapsed="false">
      <c r="A40" s="25" t="s">
        <v>377</v>
      </c>
      <c r="B40" s="36" t="n">
        <v>45874</v>
      </c>
      <c r="C40" s="25" t="s">
        <v>235</v>
      </c>
      <c r="D40" s="25" t="s">
        <v>236</v>
      </c>
      <c r="E40" s="25" t="s">
        <v>340</v>
      </c>
      <c r="F40" s="25" t="s">
        <v>293</v>
      </c>
      <c r="G40" s="25" t="s">
        <v>86</v>
      </c>
      <c r="H40" s="25" t="s">
        <v>27</v>
      </c>
      <c r="I40" s="25" t="s">
        <v>95</v>
      </c>
      <c r="J40" s="36" t="n">
        <v>46033</v>
      </c>
      <c r="K40" s="36"/>
      <c r="L40" s="25" t="n">
        <f aca="true">IF(K40&lt;&gt;"",K40-B40,TODAY()-B40)</f>
        <v>225</v>
      </c>
      <c r="M40" s="38" t="s">
        <v>341</v>
      </c>
      <c r="N40" s="25" t="s">
        <v>79</v>
      </c>
      <c r="O40" s="25"/>
      <c r="P40" s="25"/>
    </row>
    <row r="41" customFormat="false" ht="15" hidden="false" customHeight="true" outlineLevel="0" collapsed="false">
      <c r="A41" s="29" t="s">
        <v>378</v>
      </c>
      <c r="B41" s="39" t="n">
        <v>46041</v>
      </c>
      <c r="C41" s="29" t="s">
        <v>238</v>
      </c>
      <c r="D41" s="29" t="s">
        <v>203</v>
      </c>
      <c r="E41" s="29" t="s">
        <v>340</v>
      </c>
      <c r="F41" s="29" t="s">
        <v>305</v>
      </c>
      <c r="G41" s="29" t="s">
        <v>256</v>
      </c>
      <c r="H41" s="29" t="s">
        <v>35</v>
      </c>
      <c r="I41" s="29" t="s">
        <v>123</v>
      </c>
      <c r="J41" s="39" t="n">
        <v>46108</v>
      </c>
      <c r="K41" s="39"/>
      <c r="L41" s="29" t="n">
        <f aca="true">IF(K41&lt;&gt;"",K41-B41,TODAY()-B41)</f>
        <v>58</v>
      </c>
      <c r="M41" s="38" t="s">
        <v>341</v>
      </c>
      <c r="N41" s="29" t="s">
        <v>70</v>
      </c>
      <c r="O41" s="29"/>
      <c r="P41" s="29"/>
    </row>
    <row r="42" customFormat="false" ht="15" hidden="false" customHeight="true" outlineLevel="0" collapsed="false">
      <c r="A42" s="25" t="s">
        <v>379</v>
      </c>
      <c r="B42" s="36" t="n">
        <v>46022</v>
      </c>
      <c r="C42" s="25" t="s">
        <v>240</v>
      </c>
      <c r="D42" s="25" t="s">
        <v>241</v>
      </c>
      <c r="E42" s="25" t="s">
        <v>340</v>
      </c>
      <c r="F42" s="25" t="s">
        <v>315</v>
      </c>
      <c r="G42" s="25" t="s">
        <v>113</v>
      </c>
      <c r="H42" s="25" t="s">
        <v>25</v>
      </c>
      <c r="I42" s="25" t="s">
        <v>190</v>
      </c>
      <c r="J42" s="36" t="n">
        <v>46095</v>
      </c>
      <c r="K42" s="36"/>
      <c r="L42" s="25" t="n">
        <f aca="true">IF(K42&lt;&gt;"",K42-B42,TODAY()-B42)</f>
        <v>77</v>
      </c>
      <c r="M42" s="38" t="s">
        <v>341</v>
      </c>
      <c r="N42" s="25" t="s">
        <v>87</v>
      </c>
      <c r="O42" s="25"/>
      <c r="P42" s="25"/>
    </row>
    <row r="43" customFormat="false" ht="15" hidden="false" customHeight="true" outlineLevel="0" collapsed="false">
      <c r="A43" s="29" t="s">
        <v>380</v>
      </c>
      <c r="B43" s="39" t="n">
        <v>46039</v>
      </c>
      <c r="C43" s="29" t="s">
        <v>244</v>
      </c>
      <c r="D43" s="29" t="s">
        <v>63</v>
      </c>
      <c r="E43" s="29" t="s">
        <v>343</v>
      </c>
      <c r="F43" s="29" t="s">
        <v>305</v>
      </c>
      <c r="G43" s="29" t="s">
        <v>256</v>
      </c>
      <c r="H43" s="29" t="s">
        <v>35</v>
      </c>
      <c r="I43" s="29" t="s">
        <v>113</v>
      </c>
      <c r="J43" s="39" t="n">
        <v>46374</v>
      </c>
      <c r="K43" s="39"/>
      <c r="L43" s="29" t="n">
        <f aca="true">IF(K43&lt;&gt;"",K43-B43,TODAY()-B43)</f>
        <v>60</v>
      </c>
      <c r="M43" s="41" t="s">
        <v>338</v>
      </c>
      <c r="N43" s="29" t="s">
        <v>87</v>
      </c>
      <c r="O43" s="29"/>
      <c r="P43" s="29"/>
    </row>
  </sheetData>
  <mergeCells count="2">
    <mergeCell ref="A1:P1"/>
    <mergeCell ref="A2:P2"/>
  </mergeCells>
  <dataValidations count="1">
    <dataValidation allowBlank="false" errorStyle="stop" operator="between" showDropDown="false" showErrorMessage="false" showInputMessage="false" sqref="E4:E500" type="list">
      <formula1>"Check-Out,Check-In,Transfer,Return,Write-Off"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true"/>
  </sheetPr>
  <dimension ref="A1:R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28"/>
    <col collapsed="false" customWidth="true" hidden="false" outlineLevel="0" max="7" min="7" style="1" width="12"/>
    <col collapsed="false" customWidth="true" hidden="false" outlineLevel="0" max="9" min="8" style="1" width="22"/>
    <col collapsed="false" customWidth="true" hidden="false" outlineLevel="0" max="14" min="10" style="1" width="14"/>
    <col collapsed="false" customWidth="true" hidden="false" outlineLevel="0" max="15" min="15" style="1" width="20"/>
    <col collapsed="false" customWidth="true" hidden="false" outlineLevel="0" max="16" min="16" style="1" width="18"/>
    <col collapsed="false" customWidth="true" hidden="false" outlineLevel="0" max="17" min="17" style="1" width="14"/>
    <col collapsed="false" customWidth="true" hidden="false" outlineLevel="0" max="18" min="18" style="1" width="28"/>
  </cols>
  <sheetData>
    <row r="1" customFormat="false" ht="36" hidden="false" customHeight="true" outlineLevel="0" collapsed="false">
      <c r="A1" s="35" t="s">
        <v>381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customFormat="false" ht="19.5" hidden="false" customHeight="true" outlineLevel="0" collapsed="false">
      <c r="A2" s="3" t="s">
        <v>382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27.75" hidden="false" customHeight="true" outlineLevel="0" collapsed="false">
      <c r="A3" s="43" t="s">
        <v>383</v>
      </c>
      <c r="B3" s="43" t="s">
        <v>44</v>
      </c>
      <c r="C3" s="43" t="s">
        <v>45</v>
      </c>
      <c r="D3" s="43" t="s">
        <v>14</v>
      </c>
      <c r="E3" s="43" t="s">
        <v>18</v>
      </c>
      <c r="F3" s="43" t="s">
        <v>384</v>
      </c>
      <c r="G3" s="43" t="s">
        <v>385</v>
      </c>
      <c r="H3" s="43" t="s">
        <v>386</v>
      </c>
      <c r="I3" s="43" t="s">
        <v>387</v>
      </c>
      <c r="J3" s="43" t="s">
        <v>388</v>
      </c>
      <c r="K3" s="43" t="s">
        <v>389</v>
      </c>
      <c r="L3" s="43" t="s">
        <v>390</v>
      </c>
      <c r="M3" s="43" t="s">
        <v>391</v>
      </c>
      <c r="N3" s="43" t="s">
        <v>392</v>
      </c>
      <c r="O3" s="43" t="s">
        <v>393</v>
      </c>
      <c r="P3" s="43" t="s">
        <v>394</v>
      </c>
      <c r="Q3" s="43" t="s">
        <v>58</v>
      </c>
      <c r="R3" s="43" t="s">
        <v>395</v>
      </c>
    </row>
    <row r="4" customFormat="false" ht="15" hidden="false" customHeight="true" outlineLevel="0" collapsed="false">
      <c r="A4" s="25" t="s">
        <v>396</v>
      </c>
      <c r="B4" s="25" t="s">
        <v>81</v>
      </c>
      <c r="C4" s="25" t="s">
        <v>82</v>
      </c>
      <c r="D4" s="25" t="s">
        <v>24</v>
      </c>
      <c r="E4" s="25" t="s">
        <v>25</v>
      </c>
      <c r="F4" s="25" t="s">
        <v>397</v>
      </c>
      <c r="G4" s="44" t="s">
        <v>398</v>
      </c>
      <c r="H4" s="25" t="s">
        <v>399</v>
      </c>
      <c r="I4" s="25" t="s">
        <v>400</v>
      </c>
      <c r="J4" s="36" t="n">
        <v>46022</v>
      </c>
      <c r="K4" s="36" t="n">
        <v>46025</v>
      </c>
      <c r="L4" s="36" t="n">
        <v>46035</v>
      </c>
      <c r="M4" s="25" t="n">
        <f aca="true">IF(L4&lt;&gt;"",L4-K4,IF(K4&lt;&gt;"",TODAY()-K4,""))</f>
        <v>10</v>
      </c>
      <c r="N4" s="37" t="n">
        <v>167.45</v>
      </c>
      <c r="O4" s="25" t="s">
        <v>64</v>
      </c>
      <c r="P4" s="25"/>
      <c r="Q4" s="25" t="s">
        <v>401</v>
      </c>
      <c r="R4" s="25"/>
    </row>
    <row r="5" customFormat="false" ht="15" hidden="false" customHeight="true" outlineLevel="0" collapsed="false">
      <c r="A5" s="29" t="s">
        <v>402</v>
      </c>
      <c r="B5" s="29" t="s">
        <v>96</v>
      </c>
      <c r="C5" s="29" t="s">
        <v>97</v>
      </c>
      <c r="D5" s="29" t="s">
        <v>28</v>
      </c>
      <c r="E5" s="29" t="s">
        <v>29</v>
      </c>
      <c r="F5" s="29" t="s">
        <v>403</v>
      </c>
      <c r="G5" s="45" t="s">
        <v>404</v>
      </c>
      <c r="H5" s="29" t="s">
        <v>405</v>
      </c>
      <c r="I5" s="29" t="s">
        <v>406</v>
      </c>
      <c r="J5" s="39" t="n">
        <v>46031</v>
      </c>
      <c r="K5" s="39" t="n">
        <v>46031</v>
      </c>
      <c r="L5" s="39"/>
      <c r="M5" s="29" t="n">
        <f aca="true">IF(L5&lt;&gt;"",L5-K5,IF(K5&lt;&gt;"",TODAY()-K5,""))</f>
        <v>68</v>
      </c>
      <c r="N5" s="40" t="n">
        <v>0</v>
      </c>
      <c r="O5" s="29" t="s">
        <v>77</v>
      </c>
      <c r="P5" s="29"/>
      <c r="Q5" s="29" t="s">
        <v>401</v>
      </c>
      <c r="R5" s="29"/>
    </row>
    <row r="6" customFormat="false" ht="15" hidden="false" customHeight="true" outlineLevel="0" collapsed="false">
      <c r="A6" s="25" t="s">
        <v>407</v>
      </c>
      <c r="B6" s="25" t="s">
        <v>108</v>
      </c>
      <c r="C6" s="25" t="s">
        <v>109</v>
      </c>
      <c r="D6" s="25" t="s">
        <v>32</v>
      </c>
      <c r="E6" s="25" t="s">
        <v>33</v>
      </c>
      <c r="F6" s="25" t="s">
        <v>403</v>
      </c>
      <c r="G6" s="45" t="s">
        <v>404</v>
      </c>
      <c r="H6" s="25" t="s">
        <v>408</v>
      </c>
      <c r="I6" s="25" t="s">
        <v>400</v>
      </c>
      <c r="J6" s="36" t="n">
        <v>45983</v>
      </c>
      <c r="K6" s="36" t="n">
        <v>45986</v>
      </c>
      <c r="L6" s="36"/>
      <c r="M6" s="25" t="n">
        <f aca="true">IF(L6&lt;&gt;"",L6-K6,IF(K6&lt;&gt;"",TODAY()-K6,""))</f>
        <v>113</v>
      </c>
      <c r="N6" s="37" t="n">
        <v>0</v>
      </c>
      <c r="O6" s="25" t="s">
        <v>90</v>
      </c>
      <c r="P6" s="25"/>
      <c r="Q6" s="25" t="s">
        <v>401</v>
      </c>
      <c r="R6" s="25"/>
    </row>
    <row r="7" customFormat="false" ht="15" hidden="false" customHeight="true" outlineLevel="0" collapsed="false">
      <c r="A7" s="29" t="s">
        <v>409</v>
      </c>
      <c r="B7" s="29" t="s">
        <v>118</v>
      </c>
      <c r="C7" s="29" t="s">
        <v>119</v>
      </c>
      <c r="D7" s="29" t="s">
        <v>36</v>
      </c>
      <c r="E7" s="29" t="s">
        <v>21</v>
      </c>
      <c r="F7" s="29" t="s">
        <v>410</v>
      </c>
      <c r="G7" s="44" t="s">
        <v>398</v>
      </c>
      <c r="H7" s="29" t="s">
        <v>408</v>
      </c>
      <c r="I7" s="29" t="s">
        <v>406</v>
      </c>
      <c r="J7" s="39" t="n">
        <v>46031</v>
      </c>
      <c r="K7" s="39" t="n">
        <v>46032</v>
      </c>
      <c r="L7" s="39" t="n">
        <v>46041</v>
      </c>
      <c r="M7" s="29" t="n">
        <f aca="true">IF(L7&lt;&gt;"",L7-K7,IF(K7&lt;&gt;"",TODAY()-K7,""))</f>
        <v>9</v>
      </c>
      <c r="N7" s="40" t="n">
        <v>488.38</v>
      </c>
      <c r="O7" s="29" t="s">
        <v>67</v>
      </c>
      <c r="P7" s="29"/>
      <c r="Q7" s="29" t="s">
        <v>401</v>
      </c>
      <c r="R7" s="29"/>
    </row>
    <row r="8" customFormat="false" ht="15" hidden="false" customHeight="true" outlineLevel="0" collapsed="false">
      <c r="A8" s="25" t="s">
        <v>411</v>
      </c>
      <c r="B8" s="25" t="s">
        <v>128</v>
      </c>
      <c r="C8" s="25" t="s">
        <v>129</v>
      </c>
      <c r="D8" s="25" t="s">
        <v>20</v>
      </c>
      <c r="E8" s="25" t="s">
        <v>25</v>
      </c>
      <c r="F8" s="25" t="s">
        <v>410</v>
      </c>
      <c r="G8" s="45" t="s">
        <v>404</v>
      </c>
      <c r="H8" s="25" t="s">
        <v>408</v>
      </c>
      <c r="I8" s="25" t="s">
        <v>412</v>
      </c>
      <c r="J8" s="36" t="n">
        <v>46056</v>
      </c>
      <c r="K8" s="36" t="n">
        <v>46058</v>
      </c>
      <c r="L8" s="36" t="n">
        <v>46072</v>
      </c>
      <c r="M8" s="25" t="n">
        <f aca="true">IF(L8&lt;&gt;"",L8-K8,IF(K8&lt;&gt;"",TODAY()-K8,""))</f>
        <v>14</v>
      </c>
      <c r="N8" s="37" t="n">
        <v>1159.95</v>
      </c>
      <c r="O8" s="25" t="s">
        <v>90</v>
      </c>
      <c r="P8" s="25"/>
      <c r="Q8" s="25" t="s">
        <v>401</v>
      </c>
      <c r="R8" s="25"/>
    </row>
    <row r="9" customFormat="false" ht="15" hidden="false" customHeight="true" outlineLevel="0" collapsed="false">
      <c r="A9" s="29" t="s">
        <v>413</v>
      </c>
      <c r="B9" s="29" t="s">
        <v>135</v>
      </c>
      <c r="C9" s="29" t="s">
        <v>136</v>
      </c>
      <c r="D9" s="29" t="s">
        <v>24</v>
      </c>
      <c r="E9" s="29" t="s">
        <v>29</v>
      </c>
      <c r="F9" s="29" t="s">
        <v>414</v>
      </c>
      <c r="G9" s="46" t="s">
        <v>415</v>
      </c>
      <c r="H9" s="29" t="s">
        <v>399</v>
      </c>
      <c r="I9" s="29" t="s">
        <v>416</v>
      </c>
      <c r="J9" s="39" t="n">
        <v>45919</v>
      </c>
      <c r="K9" s="39" t="n">
        <v>45922</v>
      </c>
      <c r="L9" s="39" t="n">
        <v>45931</v>
      </c>
      <c r="M9" s="29" t="n">
        <f aca="true">IF(L9&lt;&gt;"",L9-K9,IF(K9&lt;&gt;"",TODAY()-K9,""))</f>
        <v>9</v>
      </c>
      <c r="N9" s="40" t="n">
        <v>1102.96</v>
      </c>
      <c r="O9" s="29" t="s">
        <v>74</v>
      </c>
      <c r="P9" s="29"/>
      <c r="Q9" s="29" t="s">
        <v>401</v>
      </c>
      <c r="R9" s="29"/>
    </row>
    <row r="10" customFormat="false" ht="15" hidden="false" customHeight="true" outlineLevel="0" collapsed="false">
      <c r="A10" s="25" t="s">
        <v>417</v>
      </c>
      <c r="B10" s="25" t="s">
        <v>143</v>
      </c>
      <c r="C10" s="25" t="s">
        <v>144</v>
      </c>
      <c r="D10" s="25" t="s">
        <v>28</v>
      </c>
      <c r="E10" s="25" t="s">
        <v>33</v>
      </c>
      <c r="F10" s="25" t="s">
        <v>403</v>
      </c>
      <c r="G10" s="46" t="s">
        <v>415</v>
      </c>
      <c r="H10" s="25" t="s">
        <v>399</v>
      </c>
      <c r="I10" s="25" t="s">
        <v>416</v>
      </c>
      <c r="J10" s="36" t="n">
        <v>45944</v>
      </c>
      <c r="K10" s="36" t="n">
        <v>45946</v>
      </c>
      <c r="L10" s="36"/>
      <c r="M10" s="25" t="n">
        <f aca="true">IF(L10&lt;&gt;"",L10-K10,IF(K10&lt;&gt;"",TODAY()-K10,""))</f>
        <v>153</v>
      </c>
      <c r="N10" s="37" t="n">
        <v>0</v>
      </c>
      <c r="O10" s="25" t="s">
        <v>64</v>
      </c>
      <c r="P10" s="25"/>
      <c r="Q10" s="25" t="s">
        <v>401</v>
      </c>
      <c r="R10" s="25"/>
    </row>
    <row r="11" customFormat="false" ht="15" hidden="false" customHeight="true" outlineLevel="0" collapsed="false">
      <c r="A11" s="29" t="s">
        <v>418</v>
      </c>
      <c r="B11" s="29" t="s">
        <v>154</v>
      </c>
      <c r="C11" s="29" t="s">
        <v>155</v>
      </c>
      <c r="D11" s="29" t="s">
        <v>32</v>
      </c>
      <c r="E11" s="29" t="s">
        <v>21</v>
      </c>
      <c r="F11" s="29" t="s">
        <v>419</v>
      </c>
      <c r="G11" s="46" t="s">
        <v>415</v>
      </c>
      <c r="H11" s="29" t="s">
        <v>405</v>
      </c>
      <c r="I11" s="29" t="s">
        <v>416</v>
      </c>
      <c r="J11" s="39" t="n">
        <v>45951</v>
      </c>
      <c r="K11" s="39" t="n">
        <v>45951</v>
      </c>
      <c r="L11" s="39" t="n">
        <v>45954</v>
      </c>
      <c r="M11" s="29" t="n">
        <f aca="true">IF(L11&lt;&gt;"",L11-K11,IF(K11&lt;&gt;"",TODAY()-K11,""))</f>
        <v>3</v>
      </c>
      <c r="N11" s="40" t="n">
        <v>967.48</v>
      </c>
      <c r="O11" s="29" t="s">
        <v>64</v>
      </c>
      <c r="P11" s="29"/>
      <c r="Q11" s="29" t="s">
        <v>401</v>
      </c>
      <c r="R11" s="29"/>
    </row>
    <row r="12" customFormat="false" ht="15" hidden="false" customHeight="true" outlineLevel="0" collapsed="false">
      <c r="A12" s="25" t="s">
        <v>420</v>
      </c>
      <c r="B12" s="25" t="s">
        <v>164</v>
      </c>
      <c r="C12" s="25" t="s">
        <v>165</v>
      </c>
      <c r="D12" s="25" t="s">
        <v>36</v>
      </c>
      <c r="E12" s="25" t="s">
        <v>25</v>
      </c>
      <c r="F12" s="25" t="s">
        <v>414</v>
      </c>
      <c r="G12" s="47" t="s">
        <v>421</v>
      </c>
      <c r="H12" s="25" t="s">
        <v>422</v>
      </c>
      <c r="I12" s="25" t="s">
        <v>423</v>
      </c>
      <c r="J12" s="36" t="n">
        <v>45987</v>
      </c>
      <c r="K12" s="36" t="n">
        <v>45990</v>
      </c>
      <c r="L12" s="36" t="n">
        <v>45998</v>
      </c>
      <c r="M12" s="25" t="n">
        <f aca="true">IF(L12&lt;&gt;"",L12-K12,IF(K12&lt;&gt;"",TODAY()-K12,""))</f>
        <v>8</v>
      </c>
      <c r="N12" s="37" t="n">
        <v>728.52</v>
      </c>
      <c r="O12" s="25" t="s">
        <v>90</v>
      </c>
      <c r="P12" s="25"/>
      <c r="Q12" s="25" t="s">
        <v>401</v>
      </c>
      <c r="R12" s="25"/>
    </row>
    <row r="13" customFormat="false" ht="15" hidden="false" customHeight="true" outlineLevel="0" collapsed="false">
      <c r="A13" s="29" t="s">
        <v>424</v>
      </c>
      <c r="B13" s="29" t="s">
        <v>173</v>
      </c>
      <c r="C13" s="29" t="s">
        <v>174</v>
      </c>
      <c r="D13" s="29" t="s">
        <v>20</v>
      </c>
      <c r="E13" s="29" t="s">
        <v>29</v>
      </c>
      <c r="F13" s="29" t="s">
        <v>425</v>
      </c>
      <c r="G13" s="46" t="s">
        <v>415</v>
      </c>
      <c r="H13" s="29" t="s">
        <v>422</v>
      </c>
      <c r="I13" s="29" t="s">
        <v>416</v>
      </c>
      <c r="J13" s="39" t="n">
        <v>45993</v>
      </c>
      <c r="K13" s="39" t="n">
        <v>45996</v>
      </c>
      <c r="L13" s="39"/>
      <c r="M13" s="29" t="n">
        <f aca="true">IF(L13&lt;&gt;"",L13-K13,IF(K13&lt;&gt;"",TODAY()-K13,""))</f>
        <v>103</v>
      </c>
      <c r="N13" s="40" t="n">
        <v>0</v>
      </c>
      <c r="O13" s="29" t="s">
        <v>93</v>
      </c>
      <c r="P13" s="29"/>
      <c r="Q13" s="29" t="s">
        <v>341</v>
      </c>
      <c r="R13" s="29"/>
    </row>
    <row r="14" customFormat="false" ht="15" hidden="false" customHeight="true" outlineLevel="0" collapsed="false">
      <c r="A14" s="25" t="s">
        <v>426</v>
      </c>
      <c r="B14" s="25" t="s">
        <v>179</v>
      </c>
      <c r="C14" s="25" t="s">
        <v>82</v>
      </c>
      <c r="D14" s="25" t="s">
        <v>24</v>
      </c>
      <c r="E14" s="25" t="s">
        <v>33</v>
      </c>
      <c r="F14" s="25" t="s">
        <v>397</v>
      </c>
      <c r="G14" s="46" t="s">
        <v>415</v>
      </c>
      <c r="H14" s="25" t="s">
        <v>399</v>
      </c>
      <c r="I14" s="25" t="s">
        <v>412</v>
      </c>
      <c r="J14" s="36" t="n">
        <v>46018</v>
      </c>
      <c r="K14" s="36" t="n">
        <v>46020</v>
      </c>
      <c r="L14" s="36" t="n">
        <v>46033</v>
      </c>
      <c r="M14" s="25" t="n">
        <f aca="true">IF(L14&lt;&gt;"",L14-K14,IF(K14&lt;&gt;"",TODAY()-K14,""))</f>
        <v>13</v>
      </c>
      <c r="N14" s="37" t="n">
        <v>838.14</v>
      </c>
      <c r="O14" s="25" t="s">
        <v>77</v>
      </c>
      <c r="P14" s="25"/>
      <c r="Q14" s="25" t="s">
        <v>401</v>
      </c>
      <c r="R14" s="25"/>
    </row>
    <row r="15" customFormat="false" ht="15" hidden="false" customHeight="true" outlineLevel="0" collapsed="false">
      <c r="A15" s="29" t="s">
        <v>427</v>
      </c>
      <c r="B15" s="29" t="s">
        <v>186</v>
      </c>
      <c r="C15" s="29" t="s">
        <v>187</v>
      </c>
      <c r="D15" s="29" t="s">
        <v>28</v>
      </c>
      <c r="E15" s="29" t="s">
        <v>21</v>
      </c>
      <c r="F15" s="29" t="s">
        <v>428</v>
      </c>
      <c r="G15" s="44" t="s">
        <v>398</v>
      </c>
      <c r="H15" s="29" t="s">
        <v>399</v>
      </c>
      <c r="I15" s="29" t="s">
        <v>412</v>
      </c>
      <c r="J15" s="39" t="n">
        <v>46050</v>
      </c>
      <c r="K15" s="39" t="n">
        <v>46052</v>
      </c>
      <c r="L15" s="39" t="n">
        <v>46060</v>
      </c>
      <c r="M15" s="29" t="n">
        <f aca="true">IF(L15&lt;&gt;"",L15-K15,IF(K15&lt;&gt;"",TODAY()-K15,""))</f>
        <v>8</v>
      </c>
      <c r="N15" s="40" t="n">
        <v>1269.55</v>
      </c>
      <c r="O15" s="29" t="s">
        <v>93</v>
      </c>
      <c r="P15" s="29"/>
      <c r="Q15" s="29" t="s">
        <v>401</v>
      </c>
      <c r="R15" s="29"/>
    </row>
    <row r="16" customFormat="false" ht="15" hidden="false" customHeight="true" outlineLevel="0" collapsed="false">
      <c r="A16" s="25" t="s">
        <v>429</v>
      </c>
      <c r="B16" s="25" t="s">
        <v>195</v>
      </c>
      <c r="C16" s="25" t="s">
        <v>109</v>
      </c>
      <c r="D16" s="25" t="s">
        <v>32</v>
      </c>
      <c r="E16" s="25" t="s">
        <v>25</v>
      </c>
      <c r="F16" s="25" t="s">
        <v>428</v>
      </c>
      <c r="G16" s="45" t="s">
        <v>404</v>
      </c>
      <c r="H16" s="25" t="s">
        <v>430</v>
      </c>
      <c r="I16" s="25" t="s">
        <v>423</v>
      </c>
      <c r="J16" s="36" t="n">
        <v>46065</v>
      </c>
      <c r="K16" s="36" t="n">
        <v>46067</v>
      </c>
      <c r="L16" s="36" t="n">
        <v>46079</v>
      </c>
      <c r="M16" s="25" t="n">
        <f aca="true">IF(L16&lt;&gt;"",L16-K16,IF(K16&lt;&gt;"",TODAY()-K16,""))</f>
        <v>12</v>
      </c>
      <c r="N16" s="37" t="n">
        <v>995.19</v>
      </c>
      <c r="O16" s="25" t="s">
        <v>106</v>
      </c>
      <c r="P16" s="25"/>
      <c r="Q16" s="25" t="s">
        <v>401</v>
      </c>
      <c r="R16" s="25"/>
    </row>
    <row r="17" customFormat="false" ht="15" hidden="false" customHeight="true" outlineLevel="0" collapsed="false">
      <c r="A17" s="29" t="s">
        <v>431</v>
      </c>
      <c r="B17" s="29" t="s">
        <v>202</v>
      </c>
      <c r="C17" s="29" t="s">
        <v>203</v>
      </c>
      <c r="D17" s="29" t="s">
        <v>36</v>
      </c>
      <c r="E17" s="29" t="s">
        <v>29</v>
      </c>
      <c r="F17" s="29" t="s">
        <v>419</v>
      </c>
      <c r="G17" s="45" t="s">
        <v>404</v>
      </c>
      <c r="H17" s="29" t="s">
        <v>405</v>
      </c>
      <c r="I17" s="29" t="s">
        <v>406</v>
      </c>
      <c r="J17" s="39" t="n">
        <v>46019</v>
      </c>
      <c r="K17" s="39" t="n">
        <v>46019</v>
      </c>
      <c r="L17" s="39" t="n">
        <v>46021</v>
      </c>
      <c r="M17" s="29" t="n">
        <f aca="true">IF(L17&lt;&gt;"",L17-K17,IF(K17&lt;&gt;"",TODAY()-K17,""))</f>
        <v>2</v>
      </c>
      <c r="N17" s="40" t="n">
        <v>488.17</v>
      </c>
      <c r="O17" s="29" t="s">
        <v>93</v>
      </c>
      <c r="P17" s="29"/>
      <c r="Q17" s="29" t="s">
        <v>401</v>
      </c>
      <c r="R17" s="29"/>
    </row>
    <row r="18" customFormat="false" ht="15" hidden="false" customHeight="true" outlineLevel="0" collapsed="false">
      <c r="A18" s="25" t="s">
        <v>432</v>
      </c>
      <c r="B18" s="25" t="s">
        <v>211</v>
      </c>
      <c r="C18" s="25" t="s">
        <v>212</v>
      </c>
      <c r="D18" s="25" t="s">
        <v>20</v>
      </c>
      <c r="E18" s="25" t="s">
        <v>33</v>
      </c>
      <c r="F18" s="25" t="s">
        <v>403</v>
      </c>
      <c r="G18" s="44" t="s">
        <v>398</v>
      </c>
      <c r="H18" s="25" t="s">
        <v>408</v>
      </c>
      <c r="I18" s="25" t="s">
        <v>406</v>
      </c>
      <c r="J18" s="36" t="n">
        <v>45971</v>
      </c>
      <c r="K18" s="36" t="n">
        <v>45973</v>
      </c>
      <c r="L18" s="36" t="n">
        <v>45978</v>
      </c>
      <c r="M18" s="25" t="n">
        <f aca="true">IF(L18&lt;&gt;"",L18-K18,IF(K18&lt;&gt;"",TODAY()-K18,""))</f>
        <v>5</v>
      </c>
      <c r="N18" s="37" t="n">
        <v>860.21</v>
      </c>
      <c r="O18" s="25" t="s">
        <v>74</v>
      </c>
      <c r="P18" s="25"/>
      <c r="Q18" s="25" t="s">
        <v>401</v>
      </c>
      <c r="R18" s="25"/>
    </row>
    <row r="19" customFormat="false" ht="15" hidden="false" customHeight="true" outlineLevel="0" collapsed="false">
      <c r="A19" s="29" t="s">
        <v>433</v>
      </c>
      <c r="B19" s="29" t="s">
        <v>218</v>
      </c>
      <c r="C19" s="29" t="s">
        <v>219</v>
      </c>
      <c r="D19" s="29" t="s">
        <v>24</v>
      </c>
      <c r="E19" s="29" t="s">
        <v>21</v>
      </c>
      <c r="F19" s="29" t="s">
        <v>414</v>
      </c>
      <c r="G19" s="45" t="s">
        <v>404</v>
      </c>
      <c r="H19" s="29" t="s">
        <v>399</v>
      </c>
      <c r="I19" s="29" t="s">
        <v>423</v>
      </c>
      <c r="J19" s="39" t="n">
        <v>46061</v>
      </c>
      <c r="K19" s="39" t="n">
        <v>46064</v>
      </c>
      <c r="L19" s="39"/>
      <c r="M19" s="29" t="n">
        <f aca="true">IF(L19&lt;&gt;"",L19-K19,IF(K19&lt;&gt;"",TODAY()-K19,""))</f>
        <v>35</v>
      </c>
      <c r="N19" s="40" t="n">
        <v>0</v>
      </c>
      <c r="O19" s="29" t="s">
        <v>93</v>
      </c>
      <c r="P19" s="29"/>
      <c r="Q19" s="29" t="s">
        <v>401</v>
      </c>
      <c r="R19" s="29"/>
    </row>
    <row r="20" customFormat="false" ht="15" hidden="false" customHeight="true" outlineLevel="0" collapsed="false">
      <c r="A20" s="25" t="s">
        <v>434</v>
      </c>
      <c r="B20" s="25" t="s">
        <v>226</v>
      </c>
      <c r="C20" s="25" t="s">
        <v>144</v>
      </c>
      <c r="D20" s="25" t="s">
        <v>28</v>
      </c>
      <c r="E20" s="25" t="s">
        <v>25</v>
      </c>
      <c r="F20" s="25" t="s">
        <v>403</v>
      </c>
      <c r="G20" s="47" t="s">
        <v>421</v>
      </c>
      <c r="H20" s="25" t="s">
        <v>399</v>
      </c>
      <c r="I20" s="25" t="s">
        <v>416</v>
      </c>
      <c r="J20" s="36" t="n">
        <v>45969</v>
      </c>
      <c r="K20" s="36" t="n">
        <v>45971</v>
      </c>
      <c r="L20" s="36" t="n">
        <v>45976</v>
      </c>
      <c r="M20" s="25" t="n">
        <f aca="true">IF(L20&lt;&gt;"",L20-K20,IF(K20&lt;&gt;"",TODAY()-K20,""))</f>
        <v>5</v>
      </c>
      <c r="N20" s="37" t="n">
        <v>1465.8</v>
      </c>
      <c r="O20" s="25" t="s">
        <v>93</v>
      </c>
      <c r="P20" s="25"/>
      <c r="Q20" s="25" t="s">
        <v>401</v>
      </c>
      <c r="R20" s="25"/>
    </row>
    <row r="21" customFormat="false" ht="15" hidden="false" customHeight="true" outlineLevel="0" collapsed="false">
      <c r="A21" s="29" t="s">
        <v>435</v>
      </c>
      <c r="B21" s="29" t="s">
        <v>232</v>
      </c>
      <c r="C21" s="29" t="s">
        <v>155</v>
      </c>
      <c r="D21" s="29" t="s">
        <v>32</v>
      </c>
      <c r="E21" s="29" t="s">
        <v>29</v>
      </c>
      <c r="F21" s="29" t="s">
        <v>419</v>
      </c>
      <c r="G21" s="44" t="s">
        <v>398</v>
      </c>
      <c r="H21" s="29" t="s">
        <v>422</v>
      </c>
      <c r="I21" s="29" t="s">
        <v>400</v>
      </c>
      <c r="J21" s="39" t="n">
        <v>45961</v>
      </c>
      <c r="K21" s="39" t="n">
        <v>45964</v>
      </c>
      <c r="L21" s="39" t="n">
        <v>45973</v>
      </c>
      <c r="M21" s="29" t="n">
        <f aca="true">IF(L21&lt;&gt;"",L21-K21,IF(K21&lt;&gt;"",TODAY()-K21,""))</f>
        <v>9</v>
      </c>
      <c r="N21" s="40" t="n">
        <v>1537.6</v>
      </c>
      <c r="O21" s="29" t="s">
        <v>74</v>
      </c>
      <c r="P21" s="29"/>
      <c r="Q21" s="29" t="s">
        <v>401</v>
      </c>
      <c r="R21" s="29"/>
    </row>
    <row r="22" customFormat="false" ht="15" hidden="false" customHeight="true" outlineLevel="0" collapsed="false">
      <c r="A22" s="25" t="s">
        <v>436</v>
      </c>
      <c r="B22" s="25" t="s">
        <v>238</v>
      </c>
      <c r="C22" s="25" t="s">
        <v>203</v>
      </c>
      <c r="D22" s="25" t="s">
        <v>36</v>
      </c>
      <c r="E22" s="25" t="s">
        <v>33</v>
      </c>
      <c r="F22" s="25" t="s">
        <v>414</v>
      </c>
      <c r="G22" s="47" t="s">
        <v>421</v>
      </c>
      <c r="H22" s="25" t="s">
        <v>422</v>
      </c>
      <c r="I22" s="25" t="s">
        <v>406</v>
      </c>
      <c r="J22" s="36" t="n">
        <v>45952</v>
      </c>
      <c r="K22" s="36" t="n">
        <v>45955</v>
      </c>
      <c r="L22" s="36"/>
      <c r="M22" s="25" t="n">
        <f aca="true">IF(L22&lt;&gt;"",L22-K22,IF(K22&lt;&gt;"",TODAY()-K22,""))</f>
        <v>144</v>
      </c>
      <c r="N22" s="37" t="n">
        <v>0</v>
      </c>
      <c r="O22" s="25" t="s">
        <v>106</v>
      </c>
      <c r="P22" s="25"/>
      <c r="Q22" s="25" t="s">
        <v>341</v>
      </c>
      <c r="R22" s="25"/>
    </row>
    <row r="23" customFormat="false" ht="15" hidden="false" customHeight="true" outlineLevel="0" collapsed="false">
      <c r="A23" s="29" t="s">
        <v>437</v>
      </c>
      <c r="B23" s="29" t="s">
        <v>244</v>
      </c>
      <c r="C23" s="29" t="s">
        <v>63</v>
      </c>
      <c r="D23" s="29" t="s">
        <v>20</v>
      </c>
      <c r="E23" s="29" t="s">
        <v>21</v>
      </c>
      <c r="F23" s="29" t="s">
        <v>425</v>
      </c>
      <c r="G23" s="44" t="s">
        <v>398</v>
      </c>
      <c r="H23" s="29" t="s">
        <v>405</v>
      </c>
      <c r="I23" s="29" t="s">
        <v>400</v>
      </c>
      <c r="J23" s="39" t="n">
        <v>46000</v>
      </c>
      <c r="K23" s="39" t="n">
        <v>46001</v>
      </c>
      <c r="L23" s="39" t="n">
        <v>46002</v>
      </c>
      <c r="M23" s="29" t="n">
        <f aca="true">IF(L23&lt;&gt;"",L23-K23,IF(K23&lt;&gt;"",TODAY()-K23,""))</f>
        <v>1</v>
      </c>
      <c r="N23" s="40" t="n">
        <v>296.18</v>
      </c>
      <c r="O23" s="29" t="s">
        <v>77</v>
      </c>
      <c r="P23" s="29"/>
      <c r="Q23" s="29" t="s">
        <v>401</v>
      </c>
      <c r="R23" s="29"/>
    </row>
    <row r="24" customFormat="false" ht="15" hidden="false" customHeight="true" outlineLevel="0" collapsed="false">
      <c r="A24" s="25" t="s">
        <v>438</v>
      </c>
      <c r="B24" s="25" t="s">
        <v>249</v>
      </c>
      <c r="C24" s="25" t="s">
        <v>136</v>
      </c>
      <c r="D24" s="25" t="s">
        <v>24</v>
      </c>
      <c r="E24" s="25" t="s">
        <v>25</v>
      </c>
      <c r="F24" s="25" t="s">
        <v>425</v>
      </c>
      <c r="G24" s="46" t="s">
        <v>415</v>
      </c>
      <c r="H24" s="25" t="s">
        <v>399</v>
      </c>
      <c r="I24" s="25" t="s">
        <v>412</v>
      </c>
      <c r="J24" s="36" t="n">
        <v>45964</v>
      </c>
      <c r="K24" s="36" t="n">
        <v>45967</v>
      </c>
      <c r="L24" s="36"/>
      <c r="M24" s="25" t="n">
        <f aca="true">IF(L24&lt;&gt;"",L24-K24,IF(K24&lt;&gt;"",TODAY()-K24,""))</f>
        <v>132</v>
      </c>
      <c r="N24" s="37" t="n">
        <v>0</v>
      </c>
      <c r="O24" s="25" t="s">
        <v>74</v>
      </c>
      <c r="P24" s="25"/>
      <c r="Q24" s="25" t="s">
        <v>401</v>
      </c>
      <c r="R24" s="25"/>
    </row>
    <row r="25" customFormat="false" ht="15" hidden="false" customHeight="true" outlineLevel="0" collapsed="false">
      <c r="A25" s="29" t="s">
        <v>439</v>
      </c>
      <c r="B25" s="29" t="s">
        <v>253</v>
      </c>
      <c r="C25" s="29" t="s">
        <v>254</v>
      </c>
      <c r="D25" s="29" t="s">
        <v>28</v>
      </c>
      <c r="E25" s="29" t="s">
        <v>29</v>
      </c>
      <c r="F25" s="29" t="s">
        <v>440</v>
      </c>
      <c r="G25" s="46" t="s">
        <v>415</v>
      </c>
      <c r="H25" s="29" t="s">
        <v>399</v>
      </c>
      <c r="I25" s="29" t="s">
        <v>416</v>
      </c>
      <c r="J25" s="39" t="n">
        <v>46012</v>
      </c>
      <c r="K25" s="39" t="n">
        <v>46015</v>
      </c>
      <c r="L25" s="39" t="n">
        <v>46029</v>
      </c>
      <c r="M25" s="29" t="n">
        <f aca="true">IF(L25&lt;&gt;"",L25-K25,IF(K25&lt;&gt;"",TODAY()-K25,""))</f>
        <v>14</v>
      </c>
      <c r="N25" s="40" t="n">
        <v>690.7</v>
      </c>
      <c r="O25" s="29" t="s">
        <v>64</v>
      </c>
      <c r="P25" s="29"/>
      <c r="Q25" s="29" t="s">
        <v>401</v>
      </c>
      <c r="R25" s="29"/>
    </row>
    <row r="26" customFormat="false" ht="15" hidden="false" customHeight="true" outlineLevel="0" collapsed="false">
      <c r="A26" s="25" t="s">
        <v>441</v>
      </c>
      <c r="B26" s="25" t="s">
        <v>261</v>
      </c>
      <c r="C26" s="25" t="s">
        <v>262</v>
      </c>
      <c r="D26" s="25" t="s">
        <v>32</v>
      </c>
      <c r="E26" s="25" t="s">
        <v>33</v>
      </c>
      <c r="F26" s="25" t="s">
        <v>397</v>
      </c>
      <c r="G26" s="44" t="s">
        <v>398</v>
      </c>
      <c r="H26" s="25" t="s">
        <v>430</v>
      </c>
      <c r="I26" s="25" t="s">
        <v>400</v>
      </c>
      <c r="J26" s="36" t="n">
        <v>45960</v>
      </c>
      <c r="K26" s="36" t="n">
        <v>45960</v>
      </c>
      <c r="L26" s="36" t="n">
        <v>45964</v>
      </c>
      <c r="M26" s="25" t="n">
        <f aca="true">IF(L26&lt;&gt;"",L26-K26,IF(K26&lt;&gt;"",TODAY()-K26,""))</f>
        <v>4</v>
      </c>
      <c r="N26" s="37" t="n">
        <v>1280.76</v>
      </c>
      <c r="O26" s="25" t="s">
        <v>90</v>
      </c>
      <c r="P26" s="25"/>
      <c r="Q26" s="25" t="s">
        <v>401</v>
      </c>
      <c r="R26" s="25"/>
    </row>
    <row r="27" customFormat="false" ht="15" hidden="false" customHeight="true" outlineLevel="0" collapsed="false">
      <c r="A27" s="29" t="s">
        <v>442</v>
      </c>
      <c r="B27" s="29" t="s">
        <v>269</v>
      </c>
      <c r="C27" s="29" t="s">
        <v>270</v>
      </c>
      <c r="D27" s="29" t="s">
        <v>36</v>
      </c>
      <c r="E27" s="29" t="s">
        <v>21</v>
      </c>
      <c r="F27" s="29" t="s">
        <v>443</v>
      </c>
      <c r="G27" s="46" t="s">
        <v>415</v>
      </c>
      <c r="H27" s="29" t="s">
        <v>399</v>
      </c>
      <c r="I27" s="29" t="s">
        <v>412</v>
      </c>
      <c r="J27" s="39" t="n">
        <v>45936</v>
      </c>
      <c r="K27" s="39" t="n">
        <v>45936</v>
      </c>
      <c r="L27" s="39" t="n">
        <v>45948</v>
      </c>
      <c r="M27" s="29" t="n">
        <f aca="true">IF(L27&lt;&gt;"",L27-K27,IF(K27&lt;&gt;"",TODAY()-K27,""))</f>
        <v>12</v>
      </c>
      <c r="N27" s="40" t="n">
        <v>633.96</v>
      </c>
      <c r="O27" s="29" t="s">
        <v>106</v>
      </c>
      <c r="P27" s="29"/>
      <c r="Q27" s="29" t="s">
        <v>401</v>
      </c>
      <c r="R27" s="29"/>
    </row>
    <row r="28" customFormat="false" ht="15" hidden="false" customHeight="true" outlineLevel="0" collapsed="false">
      <c r="A28" s="25" t="s">
        <v>444</v>
      </c>
      <c r="B28" s="25" t="s">
        <v>62</v>
      </c>
      <c r="C28" s="25" t="s">
        <v>63</v>
      </c>
      <c r="D28" s="25" t="s">
        <v>20</v>
      </c>
      <c r="E28" s="25" t="s">
        <v>21</v>
      </c>
      <c r="F28" s="25" t="s">
        <v>428</v>
      </c>
      <c r="G28" s="47" t="s">
        <v>421</v>
      </c>
      <c r="H28" s="25" t="s">
        <v>408</v>
      </c>
      <c r="I28" s="25" t="s">
        <v>416</v>
      </c>
      <c r="J28" s="36" t="n">
        <v>46007</v>
      </c>
      <c r="K28" s="36" t="n">
        <v>46009</v>
      </c>
      <c r="L28" s="36" t="n">
        <v>46013</v>
      </c>
      <c r="M28" s="25" t="n">
        <f aca="true">IF(L28&lt;&gt;"",L28-K28,IF(K28&lt;&gt;"",TODAY()-K28,""))</f>
        <v>4</v>
      </c>
      <c r="N28" s="37" t="n">
        <v>1085.77</v>
      </c>
      <c r="O28" s="25" t="s">
        <v>77</v>
      </c>
      <c r="P28" s="25"/>
      <c r="Q28" s="25" t="s">
        <v>401</v>
      </c>
      <c r="R28" s="25"/>
    </row>
  </sheetData>
  <mergeCells count="2">
    <mergeCell ref="A1:R1"/>
    <mergeCell ref="A2:R2"/>
  </mergeCells>
  <dataValidations count="1">
    <dataValidation allowBlank="false" errorStyle="stop" operator="between" showDropDown="false" showErrorMessage="false" showInputMessage="false" sqref="G4:G500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R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3" style="1" width="22"/>
    <col collapsed="false" customWidth="true" hidden="false" outlineLevel="0" max="5" min="5" style="1" width="22"/>
    <col collapsed="false" customWidth="true" hidden="false" outlineLevel="0" max="7" min="7" style="1" width="22"/>
    <col collapsed="false" customWidth="true" hidden="false" outlineLevel="0" max="9" min="9" style="1" width="22"/>
    <col collapsed="false" customWidth="true" hidden="false" outlineLevel="0" max="11" min="11" style="1" width="22"/>
    <col collapsed="false" customWidth="true" hidden="false" outlineLevel="0" max="13" min="13" style="1" width="22"/>
    <col collapsed="false" customWidth="true" hidden="false" outlineLevel="0" max="15" min="15" style="1" width="22"/>
    <col collapsed="false" customWidth="true" hidden="false" outlineLevel="0" max="18" min="17" style="1" width="16"/>
  </cols>
  <sheetData>
    <row r="1" customFormat="false" ht="36" hidden="false" customHeight="true" outlineLevel="0" collapsed="false">
      <c r="A1" s="35" t="s">
        <v>445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19.5" hidden="false" customHeight="true" outlineLevel="0" collapsed="false">
      <c r="A2" s="3" t="s">
        <v>446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31" t="s">
        <v>447</v>
      </c>
      <c r="C4" s="31" t="s">
        <v>448</v>
      </c>
      <c r="E4" s="31" t="s">
        <v>449</v>
      </c>
      <c r="G4" s="31" t="s">
        <v>450</v>
      </c>
      <c r="I4" s="31" t="s">
        <v>451</v>
      </c>
      <c r="K4" s="31" t="s">
        <v>452</v>
      </c>
      <c r="M4" s="31" t="s">
        <v>453</v>
      </c>
      <c r="O4" s="31" t="s">
        <v>454</v>
      </c>
      <c r="Q4" s="31" t="s">
        <v>455</v>
      </c>
      <c r="R4" s="22" t="s">
        <v>456</v>
      </c>
    </row>
    <row r="5" customFormat="false" ht="15" hidden="false" customHeight="true" outlineLevel="0" collapsed="false">
      <c r="A5" s="29" t="s">
        <v>20</v>
      </c>
      <c r="C5" s="29" t="s">
        <v>3</v>
      </c>
      <c r="E5" s="29" t="s">
        <v>21</v>
      </c>
      <c r="G5" s="29" t="s">
        <v>68</v>
      </c>
      <c r="I5" s="29" t="s">
        <v>70</v>
      </c>
      <c r="K5" s="29" t="s">
        <v>415</v>
      </c>
      <c r="M5" s="29" t="s">
        <v>408</v>
      </c>
      <c r="O5" s="29" t="s">
        <v>340</v>
      </c>
      <c r="Q5" s="29" t="s">
        <v>20</v>
      </c>
      <c r="R5" s="29" t="s">
        <v>457</v>
      </c>
    </row>
    <row r="6" customFormat="false" ht="15" hidden="false" customHeight="true" outlineLevel="0" collapsed="false">
      <c r="A6" s="25" t="s">
        <v>22</v>
      </c>
      <c r="C6" s="25" t="s">
        <v>4</v>
      </c>
      <c r="E6" s="25" t="s">
        <v>23</v>
      </c>
      <c r="G6" s="25" t="s">
        <v>172</v>
      </c>
      <c r="I6" s="25" t="s">
        <v>87</v>
      </c>
      <c r="K6" s="25" t="s">
        <v>404</v>
      </c>
      <c r="M6" s="25" t="s">
        <v>422</v>
      </c>
      <c r="O6" s="25" t="s">
        <v>337</v>
      </c>
      <c r="Q6" s="25" t="s">
        <v>22</v>
      </c>
      <c r="R6" s="25" t="s">
        <v>458</v>
      </c>
    </row>
    <row r="7" customFormat="false" ht="15" hidden="false" customHeight="true" outlineLevel="0" collapsed="false">
      <c r="A7" s="29" t="s">
        <v>24</v>
      </c>
      <c r="C7" s="29" t="s">
        <v>5</v>
      </c>
      <c r="E7" s="29" t="s">
        <v>25</v>
      </c>
      <c r="G7" s="29" t="s">
        <v>122</v>
      </c>
      <c r="I7" s="29" t="s">
        <v>162</v>
      </c>
      <c r="K7" s="29" t="s">
        <v>421</v>
      </c>
      <c r="M7" s="29" t="s">
        <v>430</v>
      </c>
      <c r="O7" s="29" t="s">
        <v>343</v>
      </c>
      <c r="Q7" s="29" t="s">
        <v>24</v>
      </c>
      <c r="R7" s="29" t="s">
        <v>459</v>
      </c>
    </row>
    <row r="8" customFormat="false" ht="15" hidden="false" customHeight="true" outlineLevel="0" collapsed="false">
      <c r="A8" s="25" t="s">
        <v>26</v>
      </c>
      <c r="C8" s="25" t="s">
        <v>16</v>
      </c>
      <c r="E8" s="25" t="s">
        <v>27</v>
      </c>
      <c r="G8" s="25" t="s">
        <v>85</v>
      </c>
      <c r="I8" s="25" t="s">
        <v>79</v>
      </c>
      <c r="K8" s="25" t="s">
        <v>398</v>
      </c>
      <c r="M8" s="25" t="s">
        <v>399</v>
      </c>
      <c r="O8" s="25" t="s">
        <v>460</v>
      </c>
      <c r="Q8" s="25" t="s">
        <v>26</v>
      </c>
      <c r="R8" s="25" t="s">
        <v>461</v>
      </c>
    </row>
    <row r="9" customFormat="false" ht="15" hidden="false" customHeight="true" outlineLevel="0" collapsed="false">
      <c r="A9" s="29" t="s">
        <v>28</v>
      </c>
      <c r="C9" s="29" t="s">
        <v>40</v>
      </c>
      <c r="E9" s="29" t="s">
        <v>29</v>
      </c>
      <c r="G9" s="29" t="s">
        <v>94</v>
      </c>
      <c r="M9" s="29" t="s">
        <v>462</v>
      </c>
      <c r="O9" s="29" t="s">
        <v>463</v>
      </c>
      <c r="Q9" s="29" t="s">
        <v>28</v>
      </c>
      <c r="R9" s="29" t="s">
        <v>464</v>
      </c>
    </row>
    <row r="10" customFormat="false" ht="15" hidden="false" customHeight="true" outlineLevel="0" collapsed="false">
      <c r="A10" s="25" t="s">
        <v>30</v>
      </c>
      <c r="C10" s="25" t="s">
        <v>41</v>
      </c>
      <c r="E10" s="25" t="s">
        <v>31</v>
      </c>
      <c r="G10" s="25" t="s">
        <v>112</v>
      </c>
      <c r="M10" s="25" t="s">
        <v>405</v>
      </c>
      <c r="Q10" s="25" t="s">
        <v>30</v>
      </c>
      <c r="R10" s="25" t="s">
        <v>465</v>
      </c>
    </row>
    <row r="11" customFormat="false" ht="15" hidden="false" customHeight="true" outlineLevel="0" collapsed="false">
      <c r="A11" s="29" t="s">
        <v>32</v>
      </c>
      <c r="E11" s="29" t="s">
        <v>33</v>
      </c>
      <c r="G11" s="29" t="s">
        <v>107</v>
      </c>
      <c r="Q11" s="29" t="s">
        <v>32</v>
      </c>
      <c r="R11" s="29" t="s">
        <v>466</v>
      </c>
    </row>
    <row r="12" customFormat="false" ht="15" hidden="false" customHeight="true" outlineLevel="0" collapsed="false">
      <c r="A12" s="25" t="s">
        <v>34</v>
      </c>
      <c r="E12" s="25" t="s">
        <v>35</v>
      </c>
      <c r="Q12" s="25" t="s">
        <v>34</v>
      </c>
      <c r="R12" s="25" t="s">
        <v>467</v>
      </c>
    </row>
    <row r="13" customFormat="false" ht="15" hidden="false" customHeight="true" outlineLevel="0" collapsed="false">
      <c r="A13" s="29" t="s">
        <v>36</v>
      </c>
      <c r="Q13" s="29" t="s">
        <v>36</v>
      </c>
      <c r="R13" s="29" t="s">
        <v>468</v>
      </c>
    </row>
    <row r="14" customFormat="false" ht="15" hidden="false" customHeight="true" outlineLevel="0" collapsed="false">
      <c r="A14" s="25" t="s">
        <v>37</v>
      </c>
      <c r="Q14" s="25" t="s">
        <v>37</v>
      </c>
      <c r="R14" s="25" t="s">
        <v>37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7" min="6" style="1" width="16"/>
    <col collapsed="false" customWidth="true" hidden="false" outlineLevel="0" max="8" min="8" style="1" width="20"/>
    <col collapsed="false" customWidth="true" hidden="false" outlineLevel="0" max="9" min="9" style="1" width="16"/>
    <col collapsed="false" customWidth="true" hidden="false" outlineLevel="0" max="10" min="10" style="1" width="18"/>
  </cols>
  <sheetData>
    <row r="1" customFormat="false" ht="36" hidden="false" customHeight="true" outlineLevel="0" collapsed="false">
      <c r="A1" s="35" t="s">
        <v>469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19.5" hidden="false" customHeight="true" outlineLevel="0" collapsed="false">
      <c r="A2" s="3" t="s">
        <v>470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7.75" hidden="false" customHeight="true" outlineLevel="0" collapsed="false">
      <c r="A3" s="43" t="s">
        <v>44</v>
      </c>
      <c r="B3" s="43" t="s">
        <v>45</v>
      </c>
      <c r="C3" s="43" t="s">
        <v>14</v>
      </c>
      <c r="D3" s="43" t="s">
        <v>18</v>
      </c>
      <c r="E3" s="43" t="s">
        <v>54</v>
      </c>
      <c r="F3" s="43" t="s">
        <v>471</v>
      </c>
      <c r="G3" s="43" t="s">
        <v>472</v>
      </c>
      <c r="H3" s="43" t="s">
        <v>52</v>
      </c>
      <c r="I3" s="43" t="s">
        <v>49</v>
      </c>
      <c r="J3" s="43" t="s">
        <v>473</v>
      </c>
    </row>
    <row r="4" customFormat="false" ht="15" hidden="false" customHeight="true" outlineLevel="0" collapsed="false">
      <c r="A4" s="48" t="s">
        <v>474</v>
      </c>
      <c r="B4" s="48"/>
      <c r="C4" s="48"/>
      <c r="D4" s="48"/>
      <c r="E4" s="48"/>
      <c r="F4" s="48"/>
      <c r="G4" s="48"/>
      <c r="H4" s="48"/>
      <c r="I4" s="48"/>
      <c r="J4" s="48"/>
    </row>
    <row r="5" customFormat="false" ht="15" hidden="false" customHeight="true" outlineLevel="0" collapsed="false">
      <c r="A5" s="49" t="s">
        <v>229</v>
      </c>
      <c r="B5" s="49" t="s">
        <v>102</v>
      </c>
      <c r="C5" s="49" t="s">
        <v>30</v>
      </c>
      <c r="D5" s="49" t="s">
        <v>27</v>
      </c>
      <c r="E5" s="50" t="n">
        <v>45303</v>
      </c>
      <c r="F5" s="49" t="n">
        <v>-796</v>
      </c>
      <c r="G5" s="49" t="s">
        <v>475</v>
      </c>
      <c r="H5" s="49" t="s">
        <v>67</v>
      </c>
      <c r="I5" s="49" t="s">
        <v>231</v>
      </c>
      <c r="J5" s="49" t="s">
        <v>476</v>
      </c>
    </row>
    <row r="6" customFormat="false" ht="15" hidden="false" customHeight="true" outlineLevel="0" collapsed="false">
      <c r="A6" s="49" t="s">
        <v>226</v>
      </c>
      <c r="B6" s="49" t="s">
        <v>144</v>
      </c>
      <c r="C6" s="49" t="s">
        <v>28</v>
      </c>
      <c r="D6" s="49" t="s">
        <v>25</v>
      </c>
      <c r="E6" s="50" t="n">
        <v>45305</v>
      </c>
      <c r="F6" s="49" t="n">
        <v>-794</v>
      </c>
      <c r="G6" s="49" t="s">
        <v>475</v>
      </c>
      <c r="H6" s="49" t="s">
        <v>77</v>
      </c>
      <c r="I6" s="49" t="s">
        <v>228</v>
      </c>
      <c r="J6" s="49" t="s">
        <v>476</v>
      </c>
    </row>
    <row r="7" customFormat="false" ht="15" hidden="false" customHeight="true" outlineLevel="0" collapsed="false">
      <c r="A7" s="49" t="s">
        <v>143</v>
      </c>
      <c r="B7" s="49" t="s">
        <v>144</v>
      </c>
      <c r="C7" s="49" t="s">
        <v>28</v>
      </c>
      <c r="D7" s="49" t="s">
        <v>33</v>
      </c>
      <c r="E7" s="50" t="n">
        <v>45330</v>
      </c>
      <c r="F7" s="49" t="n">
        <v>-769</v>
      </c>
      <c r="G7" s="49" t="s">
        <v>475</v>
      </c>
      <c r="H7" s="49" t="s">
        <v>77</v>
      </c>
      <c r="I7" s="49" t="s">
        <v>147</v>
      </c>
      <c r="J7" s="49" t="s">
        <v>476</v>
      </c>
    </row>
    <row r="8" customFormat="false" ht="15" hidden="false" customHeight="true" outlineLevel="0" collapsed="false">
      <c r="A8" s="49" t="s">
        <v>202</v>
      </c>
      <c r="B8" s="49" t="s">
        <v>203</v>
      </c>
      <c r="C8" s="49" t="s">
        <v>36</v>
      </c>
      <c r="D8" s="49" t="s">
        <v>29</v>
      </c>
      <c r="E8" s="50" t="n">
        <v>45364</v>
      </c>
      <c r="F8" s="49" t="n">
        <v>-735</v>
      </c>
      <c r="G8" s="49" t="s">
        <v>475</v>
      </c>
      <c r="H8" s="49" t="s">
        <v>90</v>
      </c>
      <c r="I8" s="49" t="s">
        <v>205</v>
      </c>
      <c r="J8" s="49" t="s">
        <v>476</v>
      </c>
    </row>
    <row r="9" customFormat="false" ht="15" hidden="false" customHeight="true" outlineLevel="0" collapsed="false">
      <c r="A9" s="49" t="s">
        <v>211</v>
      </c>
      <c r="B9" s="49" t="s">
        <v>212</v>
      </c>
      <c r="C9" s="49" t="s">
        <v>20</v>
      </c>
      <c r="D9" s="49" t="s">
        <v>33</v>
      </c>
      <c r="E9" s="50" t="n">
        <v>45398</v>
      </c>
      <c r="F9" s="49" t="n">
        <v>-701</v>
      </c>
      <c r="G9" s="49" t="s">
        <v>475</v>
      </c>
      <c r="H9" s="49" t="s">
        <v>90</v>
      </c>
      <c r="I9" s="49" t="s">
        <v>214</v>
      </c>
      <c r="J9" s="49" t="s">
        <v>476</v>
      </c>
    </row>
    <row r="10" customFormat="false" ht="15" hidden="false" customHeight="true" outlineLevel="0" collapsed="false">
      <c r="A10" s="49" t="s">
        <v>138</v>
      </c>
      <c r="B10" s="49" t="s">
        <v>139</v>
      </c>
      <c r="C10" s="49" t="s">
        <v>26</v>
      </c>
      <c r="D10" s="49" t="s">
        <v>31</v>
      </c>
      <c r="E10" s="50" t="n">
        <v>45409</v>
      </c>
      <c r="F10" s="49" t="n">
        <v>-690</v>
      </c>
      <c r="G10" s="49" t="s">
        <v>475</v>
      </c>
      <c r="H10" s="49" t="s">
        <v>77</v>
      </c>
      <c r="I10" s="49" t="s">
        <v>141</v>
      </c>
      <c r="J10" s="49" t="s">
        <v>476</v>
      </c>
    </row>
    <row r="11" customFormat="false" ht="15" hidden="false" customHeight="true" outlineLevel="0" collapsed="false">
      <c r="A11" s="49" t="s">
        <v>191</v>
      </c>
      <c r="B11" s="49" t="s">
        <v>192</v>
      </c>
      <c r="C11" s="49" t="s">
        <v>30</v>
      </c>
      <c r="D11" s="49" t="s">
        <v>23</v>
      </c>
      <c r="E11" s="50" t="n">
        <v>45438</v>
      </c>
      <c r="F11" s="49" t="n">
        <v>-661</v>
      </c>
      <c r="G11" s="49" t="s">
        <v>475</v>
      </c>
      <c r="H11" s="49" t="s">
        <v>90</v>
      </c>
      <c r="I11" s="49" t="s">
        <v>194</v>
      </c>
      <c r="J11" s="49" t="s">
        <v>476</v>
      </c>
    </row>
    <row r="12" customFormat="false" ht="15" hidden="false" customHeight="true" outlineLevel="0" collapsed="false">
      <c r="A12" s="49" t="s">
        <v>253</v>
      </c>
      <c r="B12" s="49" t="s">
        <v>254</v>
      </c>
      <c r="C12" s="49" t="s">
        <v>28</v>
      </c>
      <c r="D12" s="49" t="s">
        <v>29</v>
      </c>
      <c r="E12" s="50" t="n">
        <v>45610</v>
      </c>
      <c r="F12" s="49" t="n">
        <v>-489</v>
      </c>
      <c r="G12" s="49" t="s">
        <v>475</v>
      </c>
      <c r="H12" s="49" t="s">
        <v>77</v>
      </c>
      <c r="I12" s="49" t="s">
        <v>255</v>
      </c>
      <c r="J12" s="49" t="s">
        <v>476</v>
      </c>
    </row>
    <row r="13" customFormat="false" ht="15" hidden="false" customHeight="true" outlineLevel="0" collapsed="false">
      <c r="A13" s="49" t="s">
        <v>257</v>
      </c>
      <c r="B13" s="49" t="s">
        <v>258</v>
      </c>
      <c r="C13" s="49" t="s">
        <v>30</v>
      </c>
      <c r="D13" s="49" t="s">
        <v>31</v>
      </c>
      <c r="E13" s="50" t="n">
        <v>45677</v>
      </c>
      <c r="F13" s="49" t="n">
        <v>-422</v>
      </c>
      <c r="G13" s="49" t="s">
        <v>475</v>
      </c>
      <c r="H13" s="49" t="s">
        <v>90</v>
      </c>
      <c r="I13" s="49" t="s">
        <v>260</v>
      </c>
      <c r="J13" s="49" t="s">
        <v>476</v>
      </c>
    </row>
    <row r="14" customFormat="false" ht="15" hidden="false" customHeight="true" outlineLevel="0" collapsed="false">
      <c r="A14" s="49" t="s">
        <v>251</v>
      </c>
      <c r="B14" s="49" t="s">
        <v>89</v>
      </c>
      <c r="C14" s="49" t="s">
        <v>26</v>
      </c>
      <c r="D14" s="49" t="s">
        <v>27</v>
      </c>
      <c r="E14" s="50" t="n">
        <v>45758</v>
      </c>
      <c r="F14" s="49" t="n">
        <v>-341</v>
      </c>
      <c r="G14" s="49" t="s">
        <v>475</v>
      </c>
      <c r="H14" s="49" t="s">
        <v>64</v>
      </c>
      <c r="I14" s="49" t="s">
        <v>252</v>
      </c>
      <c r="J14" s="49" t="s">
        <v>476</v>
      </c>
    </row>
    <row r="15" customFormat="false" ht="15" hidden="false" customHeight="true" outlineLevel="0" collapsed="false">
      <c r="A15" s="49" t="s">
        <v>246</v>
      </c>
      <c r="B15" s="49" t="s">
        <v>247</v>
      </c>
      <c r="C15" s="49" t="s">
        <v>22</v>
      </c>
      <c r="D15" s="49" t="s">
        <v>23</v>
      </c>
      <c r="E15" s="50" t="n">
        <v>45792</v>
      </c>
      <c r="F15" s="49" t="n">
        <v>-307</v>
      </c>
      <c r="G15" s="49" t="s">
        <v>475</v>
      </c>
      <c r="H15" s="49" t="s">
        <v>77</v>
      </c>
      <c r="I15" s="49" t="s">
        <v>248</v>
      </c>
      <c r="J15" s="49" t="s">
        <v>476</v>
      </c>
    </row>
    <row r="16" customFormat="false" ht="15" hidden="false" customHeight="true" outlineLevel="0" collapsed="false">
      <c r="A16" s="49" t="s">
        <v>207</v>
      </c>
      <c r="B16" s="49" t="s">
        <v>208</v>
      </c>
      <c r="C16" s="49" t="s">
        <v>37</v>
      </c>
      <c r="D16" s="49" t="s">
        <v>31</v>
      </c>
      <c r="E16" s="50" t="n">
        <v>45820</v>
      </c>
      <c r="F16" s="49" t="n">
        <v>-279</v>
      </c>
      <c r="G16" s="49" t="s">
        <v>475</v>
      </c>
      <c r="H16" s="49" t="s">
        <v>93</v>
      </c>
      <c r="I16" s="49" t="s">
        <v>210</v>
      </c>
      <c r="J16" s="49" t="s">
        <v>476</v>
      </c>
    </row>
    <row r="17" customFormat="false" ht="15" hidden="false" customHeight="true" outlineLevel="0" collapsed="false">
      <c r="A17" s="49" t="s">
        <v>179</v>
      </c>
      <c r="B17" s="49" t="s">
        <v>82</v>
      </c>
      <c r="C17" s="49" t="s">
        <v>24</v>
      </c>
      <c r="D17" s="49" t="s">
        <v>33</v>
      </c>
      <c r="E17" s="50" t="n">
        <v>45852</v>
      </c>
      <c r="F17" s="49" t="n">
        <v>-247</v>
      </c>
      <c r="G17" s="49" t="s">
        <v>475</v>
      </c>
      <c r="H17" s="49" t="s">
        <v>106</v>
      </c>
      <c r="I17" s="49" t="s">
        <v>181</v>
      </c>
      <c r="J17" s="49" t="s">
        <v>476</v>
      </c>
    </row>
    <row r="18" customFormat="false" ht="15" hidden="false" customHeight="true" outlineLevel="0" collapsed="false">
      <c r="A18" s="49" t="s">
        <v>135</v>
      </c>
      <c r="B18" s="49" t="s">
        <v>136</v>
      </c>
      <c r="C18" s="49" t="s">
        <v>24</v>
      </c>
      <c r="D18" s="49" t="s">
        <v>29</v>
      </c>
      <c r="E18" s="50" t="n">
        <v>45888</v>
      </c>
      <c r="F18" s="49" t="n">
        <v>-211</v>
      </c>
      <c r="G18" s="49" t="s">
        <v>475</v>
      </c>
      <c r="H18" s="49" t="s">
        <v>90</v>
      </c>
      <c r="I18" s="49" t="s">
        <v>137</v>
      </c>
      <c r="J18" s="49" t="s">
        <v>476</v>
      </c>
    </row>
    <row r="19" customFormat="false" ht="15" hidden="false" customHeight="true" outlineLevel="0" collapsed="false">
      <c r="A19" s="49" t="s">
        <v>149</v>
      </c>
      <c r="B19" s="49" t="s">
        <v>150</v>
      </c>
      <c r="C19" s="49" t="s">
        <v>30</v>
      </c>
      <c r="D19" s="49" t="s">
        <v>35</v>
      </c>
      <c r="E19" s="50" t="n">
        <v>45941</v>
      </c>
      <c r="F19" s="49" t="n">
        <v>-158</v>
      </c>
      <c r="G19" s="49" t="s">
        <v>475</v>
      </c>
      <c r="H19" s="49" t="s">
        <v>106</v>
      </c>
      <c r="I19" s="49" t="s">
        <v>152</v>
      </c>
      <c r="J19" s="49" t="s">
        <v>476</v>
      </c>
    </row>
    <row r="20" customFormat="false" ht="15" hidden="false" customHeight="true" outlineLevel="0" collapsed="false">
      <c r="A20" s="49" t="s">
        <v>198</v>
      </c>
      <c r="B20" s="49" t="s">
        <v>199</v>
      </c>
      <c r="C20" s="49" t="s">
        <v>34</v>
      </c>
      <c r="D20" s="49" t="s">
        <v>27</v>
      </c>
      <c r="E20" s="50" t="n">
        <v>45953</v>
      </c>
      <c r="F20" s="49" t="n">
        <v>-146</v>
      </c>
      <c r="G20" s="49" t="s">
        <v>475</v>
      </c>
      <c r="H20" s="49" t="s">
        <v>77</v>
      </c>
      <c r="I20" s="49" t="s">
        <v>200</v>
      </c>
      <c r="J20" s="49" t="s">
        <v>476</v>
      </c>
    </row>
    <row r="21" customFormat="false" ht="15" hidden="false" customHeight="true" outlineLevel="0" collapsed="false">
      <c r="A21" s="49" t="s">
        <v>101</v>
      </c>
      <c r="B21" s="49" t="s">
        <v>102</v>
      </c>
      <c r="C21" s="49" t="s">
        <v>30</v>
      </c>
      <c r="D21" s="49" t="s">
        <v>31</v>
      </c>
      <c r="E21" s="50" t="n">
        <v>45968</v>
      </c>
      <c r="F21" s="49" t="n">
        <v>-131</v>
      </c>
      <c r="G21" s="49" t="s">
        <v>475</v>
      </c>
      <c r="H21" s="49" t="s">
        <v>106</v>
      </c>
      <c r="I21" s="49" t="s">
        <v>105</v>
      </c>
      <c r="J21" s="49" t="s">
        <v>476</v>
      </c>
    </row>
    <row r="22" customFormat="false" ht="15" hidden="false" customHeight="true" outlineLevel="0" collapsed="false">
      <c r="A22" s="49" t="s">
        <v>265</v>
      </c>
      <c r="B22" s="49" t="s">
        <v>266</v>
      </c>
      <c r="C22" s="49" t="s">
        <v>34</v>
      </c>
      <c r="D22" s="49" t="s">
        <v>35</v>
      </c>
      <c r="E22" s="50" t="n">
        <v>45974</v>
      </c>
      <c r="F22" s="49" t="n">
        <v>-125</v>
      </c>
      <c r="G22" s="49" t="s">
        <v>475</v>
      </c>
      <c r="H22" s="49" t="s">
        <v>67</v>
      </c>
      <c r="I22" s="49" t="s">
        <v>268</v>
      </c>
      <c r="J22" s="49" t="s">
        <v>476</v>
      </c>
    </row>
    <row r="23" customFormat="false" ht="15" hidden="false" customHeight="true" outlineLevel="0" collapsed="false">
      <c r="A23" s="49" t="s">
        <v>88</v>
      </c>
      <c r="B23" s="49" t="s">
        <v>89</v>
      </c>
      <c r="C23" s="49" t="s">
        <v>26</v>
      </c>
      <c r="D23" s="49" t="s">
        <v>27</v>
      </c>
      <c r="E23" s="50" t="n">
        <v>46021</v>
      </c>
      <c r="F23" s="49" t="n">
        <v>-78</v>
      </c>
      <c r="G23" s="49" t="s">
        <v>475</v>
      </c>
      <c r="H23" s="49" t="s">
        <v>93</v>
      </c>
      <c r="I23" s="49" t="s">
        <v>92</v>
      </c>
      <c r="J23" s="49" t="s">
        <v>476</v>
      </c>
    </row>
    <row r="24" customFormat="false" ht="15" hidden="false" customHeight="true" outlineLevel="0" collapsed="false">
      <c r="A24" s="49" t="s">
        <v>186</v>
      </c>
      <c r="B24" s="49" t="s">
        <v>187</v>
      </c>
      <c r="C24" s="49" t="s">
        <v>28</v>
      </c>
      <c r="D24" s="49" t="s">
        <v>21</v>
      </c>
      <c r="E24" s="50" t="n">
        <v>46023</v>
      </c>
      <c r="F24" s="49" t="n">
        <v>-76</v>
      </c>
      <c r="G24" s="49" t="s">
        <v>475</v>
      </c>
      <c r="H24" s="49" t="s">
        <v>74</v>
      </c>
      <c r="I24" s="49" t="s">
        <v>189</v>
      </c>
      <c r="J24" s="49" t="s">
        <v>476</v>
      </c>
    </row>
    <row r="25" customFormat="false" ht="15" hidden="false" customHeight="true" outlineLevel="0" collapsed="false">
      <c r="A25" s="49" t="s">
        <v>158</v>
      </c>
      <c r="B25" s="49" t="s">
        <v>159</v>
      </c>
      <c r="C25" s="49" t="s">
        <v>34</v>
      </c>
      <c r="D25" s="49" t="s">
        <v>23</v>
      </c>
      <c r="E25" s="50" t="n">
        <v>46035</v>
      </c>
      <c r="F25" s="49" t="n">
        <v>-64</v>
      </c>
      <c r="G25" s="49" t="s">
        <v>475</v>
      </c>
      <c r="H25" s="49" t="s">
        <v>77</v>
      </c>
      <c r="I25" s="49" t="s">
        <v>161</v>
      </c>
      <c r="J25" s="49" t="s">
        <v>476</v>
      </c>
    </row>
    <row r="26" customFormat="false" ht="15" hidden="false" customHeight="true" outlineLevel="0" collapsed="false">
      <c r="A26" s="49" t="s">
        <v>240</v>
      </c>
      <c r="B26" s="49" t="s">
        <v>241</v>
      </c>
      <c r="C26" s="49" t="s">
        <v>37</v>
      </c>
      <c r="D26" s="49" t="s">
        <v>35</v>
      </c>
      <c r="E26" s="50" t="n">
        <v>46039</v>
      </c>
      <c r="F26" s="49" t="n">
        <v>-60</v>
      </c>
      <c r="G26" s="49" t="s">
        <v>475</v>
      </c>
      <c r="H26" s="49" t="s">
        <v>90</v>
      </c>
      <c r="I26" s="49" t="s">
        <v>243</v>
      </c>
      <c r="J26" s="49" t="s">
        <v>476</v>
      </c>
    </row>
    <row r="27" customFormat="false" ht="15" hidden="false" customHeight="true" outlineLevel="0" collapsed="false">
      <c r="A27" s="49" t="s">
        <v>215</v>
      </c>
      <c r="B27" s="49" t="s">
        <v>133</v>
      </c>
      <c r="C27" s="49" t="s">
        <v>22</v>
      </c>
      <c r="D27" s="49" t="s">
        <v>35</v>
      </c>
      <c r="E27" s="50" t="n">
        <v>46081</v>
      </c>
      <c r="F27" s="49" t="n">
        <v>-18</v>
      </c>
      <c r="G27" s="49" t="s">
        <v>475</v>
      </c>
      <c r="H27" s="49" t="s">
        <v>93</v>
      </c>
      <c r="I27" s="49" t="s">
        <v>217</v>
      </c>
      <c r="J27" s="49" t="s">
        <v>476</v>
      </c>
    </row>
    <row r="28" customFormat="false" ht="15" hidden="false" customHeight="true" outlineLevel="0" collapsed="false">
      <c r="A28" s="49" t="s">
        <v>249</v>
      </c>
      <c r="B28" s="49" t="s">
        <v>136</v>
      </c>
      <c r="C28" s="49" t="s">
        <v>24</v>
      </c>
      <c r="D28" s="49" t="s">
        <v>25</v>
      </c>
      <c r="E28" s="50" t="n">
        <v>46100</v>
      </c>
      <c r="F28" s="49" t="n">
        <v>1</v>
      </c>
      <c r="G28" s="49" t="s">
        <v>477</v>
      </c>
      <c r="H28" s="49" t="s">
        <v>77</v>
      </c>
      <c r="I28" s="49" t="s">
        <v>250</v>
      </c>
      <c r="J28" s="49" t="s">
        <v>476</v>
      </c>
    </row>
    <row r="29" customFormat="false" ht="15" hidden="false" customHeight="true" outlineLevel="0" collapsed="false">
      <c r="A29" s="49" t="s">
        <v>218</v>
      </c>
      <c r="B29" s="49" t="s">
        <v>219</v>
      </c>
      <c r="C29" s="49" t="s">
        <v>24</v>
      </c>
      <c r="D29" s="49" t="s">
        <v>21</v>
      </c>
      <c r="E29" s="50" t="n">
        <v>46116</v>
      </c>
      <c r="F29" s="49" t="n">
        <v>17</v>
      </c>
      <c r="G29" s="49" t="s">
        <v>477</v>
      </c>
      <c r="H29" s="49" t="s">
        <v>77</v>
      </c>
      <c r="I29" s="49" t="s">
        <v>221</v>
      </c>
      <c r="J29" s="49" t="s">
        <v>476</v>
      </c>
    </row>
    <row r="30" customFormat="false" ht="15" hidden="false" customHeight="true" outlineLevel="0" collapsed="false">
      <c r="A30" s="49" t="s">
        <v>261</v>
      </c>
      <c r="B30" s="49" t="s">
        <v>262</v>
      </c>
      <c r="C30" s="49" t="s">
        <v>32</v>
      </c>
      <c r="D30" s="49" t="s">
        <v>33</v>
      </c>
      <c r="E30" s="50" t="n">
        <v>46118</v>
      </c>
      <c r="F30" s="49" t="n">
        <v>19</v>
      </c>
      <c r="G30" s="49" t="s">
        <v>477</v>
      </c>
      <c r="H30" s="49" t="s">
        <v>93</v>
      </c>
      <c r="I30" s="49" t="s">
        <v>264</v>
      </c>
      <c r="J30" s="49" t="s">
        <v>476</v>
      </c>
    </row>
    <row r="31" customFormat="false" ht="15" hidden="false" customHeight="true" outlineLevel="0" collapsed="false">
      <c r="A31" s="42" t="s">
        <v>195</v>
      </c>
      <c r="B31" s="42" t="s">
        <v>109</v>
      </c>
      <c r="C31" s="42" t="s">
        <v>32</v>
      </c>
      <c r="D31" s="42" t="s">
        <v>25</v>
      </c>
      <c r="E31" s="51" t="n">
        <v>46188</v>
      </c>
      <c r="F31" s="42" t="n">
        <v>89</v>
      </c>
      <c r="G31" s="42" t="s">
        <v>478</v>
      </c>
      <c r="H31" s="42" t="s">
        <v>93</v>
      </c>
      <c r="I31" s="42" t="s">
        <v>197</v>
      </c>
      <c r="J31" s="42" t="s">
        <v>476</v>
      </c>
    </row>
    <row r="32" customFormat="false" ht="15" hidden="false" customHeight="true" outlineLevel="0" collapsed="false">
      <c r="A32" s="38" t="s">
        <v>114</v>
      </c>
      <c r="B32" s="38" t="s">
        <v>115</v>
      </c>
      <c r="C32" s="38" t="s">
        <v>34</v>
      </c>
      <c r="D32" s="38" t="s">
        <v>35</v>
      </c>
      <c r="E32" s="52" t="n">
        <v>46218</v>
      </c>
      <c r="F32" s="38" t="n">
        <v>119</v>
      </c>
      <c r="G32" s="38" t="s">
        <v>479</v>
      </c>
      <c r="H32" s="38" t="s">
        <v>64</v>
      </c>
      <c r="I32" s="38" t="s">
        <v>117</v>
      </c>
      <c r="J32" s="38" t="s">
        <v>24</v>
      </c>
    </row>
  </sheetData>
  <mergeCells count="3">
    <mergeCell ref="A1:J1"/>
    <mergeCell ref="A2:J2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9" min="7" style="1" width="18"/>
    <col collapsed="false" customWidth="true" hidden="false" outlineLevel="0" max="10" min="10" style="1" width="24"/>
  </cols>
  <sheetData>
    <row r="1" customFormat="false" ht="36" hidden="false" customHeight="true" outlineLevel="0" collapsed="false">
      <c r="A1" s="35" t="s">
        <v>480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19.5" hidden="false" customHeight="true" outlineLevel="0" collapsed="false">
      <c r="A2" s="3" t="s">
        <v>481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7.75" hidden="false" customHeight="true" outlineLevel="0" collapsed="false">
      <c r="A3" s="43" t="s">
        <v>482</v>
      </c>
      <c r="B3" s="43" t="s">
        <v>483</v>
      </c>
      <c r="C3" s="43" t="s">
        <v>484</v>
      </c>
      <c r="D3" s="43" t="s">
        <v>485</v>
      </c>
      <c r="E3" s="43" t="s">
        <v>486</v>
      </c>
      <c r="F3" s="43" t="s">
        <v>487</v>
      </c>
      <c r="G3" s="43" t="s">
        <v>488</v>
      </c>
      <c r="H3" s="43" t="s">
        <v>489</v>
      </c>
      <c r="I3" s="43" t="s">
        <v>490</v>
      </c>
      <c r="J3" s="43" t="s">
        <v>491</v>
      </c>
    </row>
    <row r="4" customFormat="false" ht="15" hidden="false" customHeight="true" outlineLevel="0" collapsed="false">
      <c r="A4" s="25" t="s">
        <v>492</v>
      </c>
      <c r="B4" s="36" t="n">
        <v>46056</v>
      </c>
      <c r="C4" s="25" t="s">
        <v>86</v>
      </c>
      <c r="D4" s="25" t="s">
        <v>493</v>
      </c>
      <c r="E4" s="25" t="s">
        <v>494</v>
      </c>
      <c r="F4" s="25" t="s">
        <v>495</v>
      </c>
      <c r="G4" s="25" t="s">
        <v>59</v>
      </c>
      <c r="H4" s="25" t="s">
        <v>21</v>
      </c>
      <c r="I4" s="25" t="s">
        <v>70</v>
      </c>
      <c r="J4" s="25" t="s">
        <v>496</v>
      </c>
    </row>
    <row r="5" customFormat="false" ht="15" hidden="false" customHeight="true" outlineLevel="0" collapsed="false">
      <c r="A5" s="29" t="s">
        <v>497</v>
      </c>
      <c r="B5" s="39" t="n">
        <v>46084</v>
      </c>
      <c r="C5" s="29" t="s">
        <v>123</v>
      </c>
      <c r="D5" s="29" t="s">
        <v>498</v>
      </c>
      <c r="E5" s="29" t="s">
        <v>494</v>
      </c>
      <c r="F5" s="29" t="s">
        <v>499</v>
      </c>
      <c r="G5" s="29" t="s">
        <v>54</v>
      </c>
      <c r="H5" s="29" t="s">
        <v>95</v>
      </c>
      <c r="I5" s="29" t="s">
        <v>23</v>
      </c>
      <c r="J5" s="29" t="s">
        <v>500</v>
      </c>
    </row>
    <row r="6" customFormat="false" ht="15" hidden="false" customHeight="true" outlineLevel="0" collapsed="false">
      <c r="A6" s="25" t="s">
        <v>501</v>
      </c>
      <c r="B6" s="36" t="n">
        <v>46057</v>
      </c>
      <c r="C6" s="25" t="s">
        <v>95</v>
      </c>
      <c r="D6" s="25" t="s">
        <v>502</v>
      </c>
      <c r="E6" s="25" t="s">
        <v>503</v>
      </c>
      <c r="F6" s="25" t="s">
        <v>504</v>
      </c>
      <c r="G6" s="25" t="s">
        <v>59</v>
      </c>
      <c r="H6" s="25" t="s">
        <v>3</v>
      </c>
      <c r="I6" s="25" t="s">
        <v>3</v>
      </c>
      <c r="J6" s="25" t="s">
        <v>505</v>
      </c>
    </row>
    <row r="7" customFormat="false" ht="15" hidden="false" customHeight="true" outlineLevel="0" collapsed="false">
      <c r="A7" s="29" t="s">
        <v>506</v>
      </c>
      <c r="B7" s="39" t="n">
        <v>46039</v>
      </c>
      <c r="C7" s="29" t="s">
        <v>100</v>
      </c>
      <c r="D7" s="29" t="s">
        <v>498</v>
      </c>
      <c r="E7" s="29" t="s">
        <v>503</v>
      </c>
      <c r="F7" s="29" t="s">
        <v>507</v>
      </c>
      <c r="G7" s="29" t="s">
        <v>54</v>
      </c>
      <c r="H7" s="29" t="s">
        <v>95</v>
      </c>
      <c r="I7" s="29" t="s">
        <v>23</v>
      </c>
      <c r="J7" s="29" t="s">
        <v>508</v>
      </c>
    </row>
    <row r="8" customFormat="false" ht="15" hidden="false" customHeight="true" outlineLevel="0" collapsed="false">
      <c r="A8" s="25" t="s">
        <v>509</v>
      </c>
      <c r="B8" s="36" t="n">
        <v>46087</v>
      </c>
      <c r="C8" s="25" t="s">
        <v>256</v>
      </c>
      <c r="D8" s="25" t="s">
        <v>502</v>
      </c>
      <c r="E8" s="25" t="s">
        <v>494</v>
      </c>
      <c r="F8" s="25" t="s">
        <v>510</v>
      </c>
      <c r="G8" s="25" t="s">
        <v>54</v>
      </c>
      <c r="H8" s="25" t="s">
        <v>87</v>
      </c>
      <c r="I8" s="25" t="s">
        <v>153</v>
      </c>
      <c r="J8" s="25" t="s">
        <v>511</v>
      </c>
    </row>
    <row r="9" customFormat="false" ht="15" hidden="false" customHeight="true" outlineLevel="0" collapsed="false">
      <c r="A9" s="29" t="s">
        <v>512</v>
      </c>
      <c r="B9" s="39" t="n">
        <v>46081</v>
      </c>
      <c r="C9" s="29" t="s">
        <v>78</v>
      </c>
      <c r="D9" s="29" t="s">
        <v>513</v>
      </c>
      <c r="E9" s="29" t="s">
        <v>494</v>
      </c>
      <c r="F9" s="29" t="s">
        <v>514</v>
      </c>
      <c r="G9" s="29" t="s">
        <v>54</v>
      </c>
      <c r="H9" s="29" t="s">
        <v>95</v>
      </c>
      <c r="I9" s="29" t="s">
        <v>3</v>
      </c>
      <c r="J9" s="29" t="s">
        <v>515</v>
      </c>
    </row>
    <row r="10" customFormat="false" ht="15" hidden="false" customHeight="true" outlineLevel="0" collapsed="false">
      <c r="A10" s="25" t="s">
        <v>516</v>
      </c>
      <c r="B10" s="36" t="n">
        <v>46044</v>
      </c>
      <c r="C10" s="25" t="s">
        <v>142</v>
      </c>
      <c r="D10" s="25" t="s">
        <v>517</v>
      </c>
      <c r="E10" s="25" t="s">
        <v>494</v>
      </c>
      <c r="F10" s="25" t="s">
        <v>518</v>
      </c>
      <c r="G10" s="25" t="s">
        <v>54</v>
      </c>
      <c r="H10" s="25" t="s">
        <v>95</v>
      </c>
      <c r="I10" s="25" t="s">
        <v>5</v>
      </c>
      <c r="J10" s="25" t="s">
        <v>519</v>
      </c>
    </row>
    <row r="11" customFormat="false" ht="15" hidden="false" customHeight="true" outlineLevel="0" collapsed="false">
      <c r="A11" s="29" t="s">
        <v>520</v>
      </c>
      <c r="B11" s="39" t="n">
        <v>46048</v>
      </c>
      <c r="C11" s="29" t="s">
        <v>100</v>
      </c>
      <c r="D11" s="29" t="s">
        <v>493</v>
      </c>
      <c r="E11" s="29" t="s">
        <v>521</v>
      </c>
      <c r="F11" s="29" t="s">
        <v>522</v>
      </c>
      <c r="G11" s="29" t="s">
        <v>59</v>
      </c>
      <c r="H11" s="29" t="s">
        <v>95</v>
      </c>
      <c r="I11" s="29" t="s">
        <v>5</v>
      </c>
      <c r="J11" s="29" t="s">
        <v>523</v>
      </c>
    </row>
    <row r="12" customFormat="false" ht="15" hidden="false" customHeight="true" outlineLevel="0" collapsed="false">
      <c r="A12" s="25" t="s">
        <v>524</v>
      </c>
      <c r="B12" s="36" t="n">
        <v>46093</v>
      </c>
      <c r="C12" s="25" t="s">
        <v>142</v>
      </c>
      <c r="D12" s="25" t="s">
        <v>517</v>
      </c>
      <c r="E12" s="25" t="s">
        <v>494</v>
      </c>
      <c r="F12" s="25" t="s">
        <v>525</v>
      </c>
      <c r="G12" s="25" t="s">
        <v>54</v>
      </c>
      <c r="H12" s="25" t="s">
        <v>4</v>
      </c>
      <c r="I12" s="25" t="s">
        <v>70</v>
      </c>
      <c r="J12" s="25" t="s">
        <v>526</v>
      </c>
    </row>
    <row r="13" customFormat="false" ht="15" hidden="false" customHeight="true" outlineLevel="0" collapsed="false">
      <c r="A13" s="29" t="s">
        <v>527</v>
      </c>
      <c r="B13" s="39" t="n">
        <v>46053</v>
      </c>
      <c r="C13" s="29" t="s">
        <v>86</v>
      </c>
      <c r="D13" s="29" t="s">
        <v>528</v>
      </c>
      <c r="E13" s="29" t="s">
        <v>503</v>
      </c>
      <c r="F13" s="29" t="s">
        <v>529</v>
      </c>
      <c r="G13" s="29" t="s">
        <v>54</v>
      </c>
      <c r="H13" s="29" t="s">
        <v>3</v>
      </c>
      <c r="I13" s="29" t="s">
        <v>5</v>
      </c>
      <c r="J13" s="29" t="s">
        <v>530</v>
      </c>
    </row>
    <row r="14" customFormat="false" ht="15" hidden="false" customHeight="true" outlineLevel="0" collapsed="false">
      <c r="A14" s="25" t="s">
        <v>531</v>
      </c>
      <c r="B14" s="36" t="n">
        <v>46049</v>
      </c>
      <c r="C14" s="25" t="s">
        <v>69</v>
      </c>
      <c r="D14" s="25" t="s">
        <v>513</v>
      </c>
      <c r="E14" s="25" t="s">
        <v>521</v>
      </c>
      <c r="F14" s="25" t="s">
        <v>532</v>
      </c>
      <c r="G14" s="25" t="s">
        <v>18</v>
      </c>
      <c r="H14" s="25" t="s">
        <v>3</v>
      </c>
      <c r="I14" s="25" t="s">
        <v>153</v>
      </c>
      <c r="J14" s="25" t="s">
        <v>533</v>
      </c>
    </row>
    <row r="15" customFormat="false" ht="15" hidden="false" customHeight="true" outlineLevel="0" collapsed="false">
      <c r="A15" s="29" t="s">
        <v>534</v>
      </c>
      <c r="B15" s="39" t="n">
        <v>46048</v>
      </c>
      <c r="C15" s="29" t="s">
        <v>190</v>
      </c>
      <c r="D15" s="29" t="s">
        <v>517</v>
      </c>
      <c r="E15" s="29" t="s">
        <v>503</v>
      </c>
      <c r="F15" s="29" t="s">
        <v>535</v>
      </c>
      <c r="G15" s="29" t="s">
        <v>54</v>
      </c>
      <c r="H15" s="29" t="s">
        <v>4</v>
      </c>
      <c r="I15" s="29" t="s">
        <v>5</v>
      </c>
      <c r="J15" s="29" t="s">
        <v>536</v>
      </c>
    </row>
    <row r="16" customFormat="false" ht="15" hidden="false" customHeight="true" outlineLevel="0" collapsed="false">
      <c r="A16" s="25" t="s">
        <v>537</v>
      </c>
      <c r="B16" s="36" t="n">
        <v>46044</v>
      </c>
      <c r="C16" s="25" t="s">
        <v>142</v>
      </c>
      <c r="D16" s="25" t="s">
        <v>517</v>
      </c>
      <c r="E16" s="25" t="s">
        <v>521</v>
      </c>
      <c r="F16" s="25" t="s">
        <v>538</v>
      </c>
      <c r="G16" s="25" t="s">
        <v>59</v>
      </c>
      <c r="H16" s="25" t="s">
        <v>95</v>
      </c>
      <c r="I16" s="25" t="s">
        <v>3</v>
      </c>
      <c r="J16" s="25" t="s">
        <v>539</v>
      </c>
    </row>
    <row r="17" customFormat="false" ht="15" hidden="false" customHeight="true" outlineLevel="0" collapsed="false">
      <c r="A17" s="29" t="s">
        <v>540</v>
      </c>
      <c r="B17" s="39" t="n">
        <v>46099</v>
      </c>
      <c r="C17" s="29" t="s">
        <v>190</v>
      </c>
      <c r="D17" s="29" t="s">
        <v>498</v>
      </c>
      <c r="E17" s="29" t="s">
        <v>494</v>
      </c>
      <c r="F17" s="29" t="s">
        <v>541</v>
      </c>
      <c r="G17" s="29" t="s">
        <v>18</v>
      </c>
      <c r="H17" s="29" t="s">
        <v>95</v>
      </c>
      <c r="I17" s="29" t="s">
        <v>70</v>
      </c>
      <c r="J17" s="29" t="s">
        <v>542</v>
      </c>
    </row>
    <row r="18" customFormat="false" ht="15" hidden="false" customHeight="true" outlineLevel="0" collapsed="false">
      <c r="A18" s="25" t="s">
        <v>543</v>
      </c>
      <c r="B18" s="36" t="n">
        <v>46047</v>
      </c>
      <c r="C18" s="25" t="s">
        <v>142</v>
      </c>
      <c r="D18" s="25" t="s">
        <v>513</v>
      </c>
      <c r="E18" s="25" t="s">
        <v>494</v>
      </c>
      <c r="F18" s="25" t="s">
        <v>504</v>
      </c>
      <c r="G18" s="25" t="s">
        <v>57</v>
      </c>
      <c r="H18" s="25" t="s">
        <v>21</v>
      </c>
      <c r="I18" s="25" t="s">
        <v>3</v>
      </c>
      <c r="J18" s="25" t="s">
        <v>544</v>
      </c>
    </row>
    <row r="19" customFormat="false" ht="15" hidden="false" customHeight="true" outlineLevel="0" collapsed="false">
      <c r="A19" s="29" t="s">
        <v>545</v>
      </c>
      <c r="B19" s="39" t="n">
        <v>46043</v>
      </c>
      <c r="C19" s="29" t="s">
        <v>69</v>
      </c>
      <c r="D19" s="29" t="s">
        <v>513</v>
      </c>
      <c r="E19" s="29" t="s">
        <v>521</v>
      </c>
      <c r="F19" s="29" t="s">
        <v>499</v>
      </c>
      <c r="G19" s="29" t="s">
        <v>58</v>
      </c>
      <c r="H19" s="29" t="s">
        <v>21</v>
      </c>
      <c r="I19" s="29" t="s">
        <v>153</v>
      </c>
      <c r="J19" s="29" t="s">
        <v>546</v>
      </c>
    </row>
    <row r="20" customFormat="false" ht="15" hidden="false" customHeight="true" outlineLevel="0" collapsed="false">
      <c r="A20" s="25" t="s">
        <v>547</v>
      </c>
      <c r="B20" s="36" t="n">
        <v>46073</v>
      </c>
      <c r="C20" s="25" t="s">
        <v>153</v>
      </c>
      <c r="D20" s="25" t="s">
        <v>493</v>
      </c>
      <c r="E20" s="25" t="s">
        <v>494</v>
      </c>
      <c r="F20" s="25" t="s">
        <v>548</v>
      </c>
      <c r="G20" s="25" t="s">
        <v>18</v>
      </c>
      <c r="H20" s="25" t="s">
        <v>21</v>
      </c>
      <c r="I20" s="25" t="s">
        <v>3</v>
      </c>
      <c r="J20" s="25" t="s">
        <v>549</v>
      </c>
    </row>
    <row r="21" customFormat="false" ht="15" hidden="false" customHeight="true" outlineLevel="0" collapsed="false">
      <c r="A21" s="29" t="s">
        <v>550</v>
      </c>
      <c r="B21" s="39" t="n">
        <v>46084</v>
      </c>
      <c r="C21" s="29" t="s">
        <v>69</v>
      </c>
      <c r="D21" s="29" t="s">
        <v>493</v>
      </c>
      <c r="E21" s="29" t="s">
        <v>503</v>
      </c>
      <c r="F21" s="29" t="s">
        <v>541</v>
      </c>
      <c r="G21" s="29" t="s">
        <v>18</v>
      </c>
      <c r="H21" s="29" t="s">
        <v>87</v>
      </c>
      <c r="I21" s="29" t="s">
        <v>23</v>
      </c>
      <c r="J21" s="29" t="s">
        <v>551</v>
      </c>
    </row>
    <row r="22" customFormat="false" ht="15" hidden="false" customHeight="true" outlineLevel="0" collapsed="false">
      <c r="A22" s="25" t="s">
        <v>552</v>
      </c>
      <c r="B22" s="36" t="n">
        <v>46052</v>
      </c>
      <c r="C22" s="25" t="s">
        <v>78</v>
      </c>
      <c r="D22" s="25" t="s">
        <v>493</v>
      </c>
      <c r="E22" s="25" t="s">
        <v>503</v>
      </c>
      <c r="F22" s="25" t="s">
        <v>553</v>
      </c>
      <c r="G22" s="25" t="s">
        <v>58</v>
      </c>
      <c r="H22" s="25" t="s">
        <v>21</v>
      </c>
      <c r="I22" s="25" t="s">
        <v>70</v>
      </c>
      <c r="J22" s="25" t="s">
        <v>554</v>
      </c>
    </row>
    <row r="23" customFormat="false" ht="15" hidden="false" customHeight="true" outlineLevel="0" collapsed="false">
      <c r="A23" s="29" t="s">
        <v>555</v>
      </c>
      <c r="B23" s="39" t="n">
        <v>46039</v>
      </c>
      <c r="C23" s="29" t="s">
        <v>190</v>
      </c>
      <c r="D23" s="29" t="s">
        <v>528</v>
      </c>
      <c r="E23" s="29" t="s">
        <v>521</v>
      </c>
      <c r="F23" s="29" t="s">
        <v>556</v>
      </c>
      <c r="G23" s="29" t="s">
        <v>57</v>
      </c>
      <c r="H23" s="29" t="s">
        <v>21</v>
      </c>
      <c r="I23" s="29" t="s">
        <v>23</v>
      </c>
      <c r="J23" s="29" t="s">
        <v>557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B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0"/>
  </cols>
  <sheetData>
    <row r="1" customFormat="false" ht="36" hidden="false" customHeight="true" outlineLevel="0" collapsed="false">
      <c r="A1" s="35" t="s">
        <v>558</v>
      </c>
      <c r="B1" s="35"/>
    </row>
    <row r="2" customFormat="false" ht="19.5" hidden="false" customHeight="true" outlineLevel="0" collapsed="false">
      <c r="A2" s="3" t="s">
        <v>559</v>
      </c>
      <c r="B2" s="3"/>
    </row>
    <row r="4" customFormat="false" ht="25.5" hidden="false" customHeight="true" outlineLevel="0" collapsed="false">
      <c r="A4" s="53" t="s">
        <v>560</v>
      </c>
      <c r="B4" s="53"/>
    </row>
    <row r="5" customFormat="false" ht="39.75" hidden="false" customHeight="true" outlineLevel="0" collapsed="false">
      <c r="A5" s="54" t="s">
        <v>561</v>
      </c>
      <c r="B5" s="55" t="s">
        <v>562</v>
      </c>
    </row>
    <row r="6" customFormat="false" ht="39.75" hidden="false" customHeight="true" outlineLevel="0" collapsed="false">
      <c r="A6" s="54" t="s">
        <v>563</v>
      </c>
      <c r="B6" s="55" t="s">
        <v>564</v>
      </c>
    </row>
    <row r="7" customFormat="false" ht="39.75" hidden="false" customHeight="true" outlineLevel="0" collapsed="false">
      <c r="A7" s="54" t="s">
        <v>565</v>
      </c>
      <c r="B7" s="55" t="s">
        <v>566</v>
      </c>
    </row>
    <row r="8" customFormat="false" ht="39.75" hidden="false" customHeight="true" outlineLevel="0" collapsed="false">
      <c r="A8" s="54" t="s">
        <v>567</v>
      </c>
      <c r="B8" s="55" t="s">
        <v>568</v>
      </c>
    </row>
    <row r="10" customFormat="false" ht="25.5" hidden="false" customHeight="true" outlineLevel="0" collapsed="false">
      <c r="A10" s="53" t="s">
        <v>569</v>
      </c>
      <c r="B10" s="53"/>
    </row>
    <row r="11" customFormat="false" ht="39.75" hidden="false" customHeight="true" outlineLevel="0" collapsed="false">
      <c r="A11" s="54" t="s">
        <v>570</v>
      </c>
      <c r="B11" s="55" t="s">
        <v>571</v>
      </c>
    </row>
    <row r="12" customFormat="false" ht="39.75" hidden="false" customHeight="true" outlineLevel="0" collapsed="false">
      <c r="A12" s="54" t="s">
        <v>572</v>
      </c>
      <c r="B12" s="55" t="s">
        <v>573</v>
      </c>
    </row>
    <row r="13" customFormat="false" ht="39.75" hidden="false" customHeight="true" outlineLevel="0" collapsed="false">
      <c r="A13" s="54" t="s">
        <v>574</v>
      </c>
      <c r="B13" s="55" t="s">
        <v>575</v>
      </c>
    </row>
    <row r="15" customFormat="false" ht="25.5" hidden="false" customHeight="true" outlineLevel="0" collapsed="false">
      <c r="A15" s="53" t="s">
        <v>576</v>
      </c>
      <c r="B15" s="53"/>
    </row>
    <row r="16" customFormat="false" ht="39.75" hidden="false" customHeight="true" outlineLevel="0" collapsed="false">
      <c r="A16" s="54" t="s">
        <v>577</v>
      </c>
      <c r="B16" s="55" t="s">
        <v>578</v>
      </c>
    </row>
    <row r="17" customFormat="false" ht="39.75" hidden="false" customHeight="true" outlineLevel="0" collapsed="false">
      <c r="A17" s="54" t="s">
        <v>579</v>
      </c>
      <c r="B17" s="55" t="s">
        <v>580</v>
      </c>
    </row>
    <row r="18" customFormat="false" ht="39.75" hidden="false" customHeight="true" outlineLevel="0" collapsed="false">
      <c r="A18" s="54" t="s">
        <v>581</v>
      </c>
      <c r="B18" s="55" t="s">
        <v>582</v>
      </c>
    </row>
    <row r="19" customFormat="false" ht="39.75" hidden="false" customHeight="true" outlineLevel="0" collapsed="false">
      <c r="A19" s="54" t="s">
        <v>583</v>
      </c>
      <c r="B19" s="55" t="s">
        <v>584</v>
      </c>
    </row>
    <row r="20" customFormat="false" ht="39.75" hidden="false" customHeight="true" outlineLevel="0" collapsed="false">
      <c r="A20" s="54" t="s">
        <v>585</v>
      </c>
      <c r="B20" s="55" t="s">
        <v>586</v>
      </c>
    </row>
    <row r="22" customFormat="false" ht="25.5" hidden="false" customHeight="true" outlineLevel="0" collapsed="false">
      <c r="A22" s="53" t="s">
        <v>587</v>
      </c>
      <c r="B22" s="53"/>
    </row>
    <row r="23" customFormat="false" ht="39.75" hidden="false" customHeight="true" outlineLevel="0" collapsed="false">
      <c r="A23" s="54" t="s">
        <v>588</v>
      </c>
      <c r="B23" s="55" t="s">
        <v>589</v>
      </c>
    </row>
    <row r="24" customFormat="false" ht="39.75" hidden="false" customHeight="true" outlineLevel="0" collapsed="false">
      <c r="A24" s="54" t="s">
        <v>590</v>
      </c>
      <c r="B24" s="55" t="s">
        <v>591</v>
      </c>
    </row>
    <row r="25" customFormat="false" ht="39.75" hidden="false" customHeight="true" outlineLevel="0" collapsed="false">
      <c r="A25" s="54" t="s">
        <v>592</v>
      </c>
      <c r="B25" s="55" t="s">
        <v>593</v>
      </c>
    </row>
    <row r="27" customFormat="false" ht="25.5" hidden="false" customHeight="true" outlineLevel="0" collapsed="false">
      <c r="A27" s="53" t="s">
        <v>594</v>
      </c>
      <c r="B27" s="53"/>
    </row>
    <row r="28" customFormat="false" ht="39.75" hidden="false" customHeight="true" outlineLevel="0" collapsed="false">
      <c r="A28" s="54" t="s">
        <v>595</v>
      </c>
      <c r="B28" s="55" t="s">
        <v>596</v>
      </c>
    </row>
    <row r="29" customFormat="false" ht="39.75" hidden="false" customHeight="true" outlineLevel="0" collapsed="false">
      <c r="A29" s="54" t="s">
        <v>597</v>
      </c>
      <c r="B29" s="55" t="s">
        <v>598</v>
      </c>
    </row>
    <row r="30" customFormat="false" ht="39.75" hidden="false" customHeight="true" outlineLevel="0" collapsed="false">
      <c r="A30" s="54" t="s">
        <v>599</v>
      </c>
      <c r="B30" s="55" t="s">
        <v>600</v>
      </c>
    </row>
    <row r="31" customFormat="false" ht="39.75" hidden="false" customHeight="true" outlineLevel="0" collapsed="false">
      <c r="A31" s="54" t="s">
        <v>601</v>
      </c>
      <c r="B31" s="55" t="s">
        <v>602</v>
      </c>
    </row>
    <row r="32" customFormat="false" ht="39.75" hidden="false" customHeight="true" outlineLevel="0" collapsed="false">
      <c r="A32" s="54" t="s">
        <v>603</v>
      </c>
      <c r="B32" s="55" t="s">
        <v>604</v>
      </c>
    </row>
    <row r="34" customFormat="false" ht="25.5" hidden="false" customHeight="true" outlineLevel="0" collapsed="false">
      <c r="A34" s="53" t="s">
        <v>605</v>
      </c>
      <c r="B34" s="53"/>
    </row>
    <row r="35" customFormat="false" ht="39.75" hidden="false" customHeight="true" outlineLevel="0" collapsed="false">
      <c r="A35" s="54" t="s">
        <v>55</v>
      </c>
      <c r="B35" s="55" t="str">
        <f aca="true">IF(L4="","N/A",IF(L4&lt;TODAY(),"Expired",IF(L4&lt;TODAY()+90,"Expiring Soon","Active")))</f>
        <v>N/A</v>
      </c>
    </row>
    <row r="36" customFormat="false" ht="39.75" hidden="false" customHeight="true" outlineLevel="0" collapsed="false">
      <c r="A36" s="54" t="s">
        <v>333</v>
      </c>
      <c r="B36" s="55" t="n">
        <f aca="true">IF(K4&lt;&gt;"",K4-B4,TODAY()-B4)</f>
        <v>46099</v>
      </c>
    </row>
    <row r="37" customFormat="false" ht="39.75" hidden="false" customHeight="true" outlineLevel="0" collapsed="false">
      <c r="A37" s="54" t="s">
        <v>606</v>
      </c>
      <c r="B37" s="55" t="n">
        <f aca="false">COUNTIF('Asset Register'!P:P, B4)</f>
        <v>0</v>
      </c>
    </row>
    <row r="38" customFormat="false" ht="39.75" hidden="false" customHeight="true" outlineLevel="0" collapsed="false">
      <c r="A38" s="54" t="s">
        <v>607</v>
      </c>
      <c r="B38" s="55" t="n">
        <f aca="false">COUNTIF('Asset Register'!C:C, A18)</f>
        <v>0</v>
      </c>
    </row>
    <row r="39" customFormat="false" ht="39.75" hidden="false" customHeight="true" outlineLevel="0" collapsed="false">
      <c r="A39" s="54" t="s">
        <v>608</v>
      </c>
      <c r="B39" s="55" t="n">
        <f aca="false">SUMIF(Maintenance!E:E, I18, Maintenance!N:N)</f>
        <v>0</v>
      </c>
    </row>
    <row r="41" customFormat="false" ht="25.5" hidden="false" customHeight="true" outlineLevel="0" collapsed="false">
      <c r="A41" s="53" t="s">
        <v>609</v>
      </c>
      <c r="B41" s="53"/>
    </row>
    <row r="42" customFormat="false" ht="39.75" hidden="false" customHeight="true" outlineLevel="0" collapsed="false">
      <c r="A42" s="54" t="s">
        <v>610</v>
      </c>
      <c r="B42" s="55" t="s">
        <v>611</v>
      </c>
    </row>
    <row r="43" customFormat="false" ht="39.75" hidden="false" customHeight="true" outlineLevel="0" collapsed="false">
      <c r="A43" s="54" t="s">
        <v>612</v>
      </c>
      <c r="B43" s="55" t="s">
        <v>613</v>
      </c>
    </row>
    <row r="44" customFormat="false" ht="39.75" hidden="false" customHeight="true" outlineLevel="0" collapsed="false">
      <c r="A44" s="54" t="s">
        <v>614</v>
      </c>
      <c r="B44" s="55" t="s">
        <v>615</v>
      </c>
    </row>
  </sheetData>
  <mergeCells count="9">
    <mergeCell ref="A1:B1"/>
    <mergeCell ref="A2:B2"/>
    <mergeCell ref="A4:B4"/>
    <mergeCell ref="A10:B10"/>
    <mergeCell ref="A15:B15"/>
    <mergeCell ref="A22:B22"/>
    <mergeCell ref="A27:B27"/>
    <mergeCell ref="A34:B34"/>
    <mergeCell ref="A41:B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2026-03-18T07:43:17Z</dcterms:created>
  <dc:creator>openpyxl</dc:creator>
  <dc:description/>
  <dc:language>en-US</dc:language>
  <cp:lastModifiedBy/>
  <dcterms:modified xsi:type="dcterms:W3CDTF">2026-03-18T07:44:00Z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